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Hiking_Trip\"/>
    </mc:Choice>
  </mc:AlternateContent>
  <xr:revisionPtr revIDLastSave="0" documentId="13_ncr:1_{3DCB089E-65C7-4226-958F-D9BDA2871F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enture Tracker" sheetId="7" r:id="rId1"/>
    <sheet name="Sheet1" sheetId="6" r:id="rId2"/>
    <sheet name="Info" sheetId="2" r:id="rId3"/>
    <sheet name="Draft" sheetId="1" r:id="rId4"/>
    <sheet name="Word_Search" sheetId="3" r:id="rId5"/>
    <sheet name="Word_Search_solution" sheetId="4" r:id="rId6"/>
    <sheet name="Riddl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3" i="1" l="1"/>
  <c r="AU25" i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<sst xmlns="http://schemas.openxmlformats.org/spreadsheetml/2006/main" count="944" uniqueCount="185">
  <si>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</si>
  <si>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</si>
  <si>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</si>
  <si>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</si>
  <si>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</si>
  <si>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</si>
  <si>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</si>
  <si>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</si>
  <si>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</si>
  <si>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</si>
  <si>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</si>
  <si>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</si>
  <si>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</si>
  <si>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</si>
  <si>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</si>
  <si>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</si>
  <si>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</si>
  <si>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</si>
  <si>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</si>
  <si>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</si>
  <si>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</si>
  <si>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</si>
  <si>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</si>
  <si>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</si>
  <si>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</si>
  <si>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</si>
  <si>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</si>
  <si>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</si>
  <si>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</si>
  <si>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</si>
  <si>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</si>
  <si>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</si>
  <si>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</si>
  <si>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</si>
  <si>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</si>
  <si>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</si>
  <si>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</si>
  <si>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</si>
  <si>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</si>
  <si>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</si>
  <si>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</si>
  <si>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</si>
  <si>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</si>
  <si>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</si>
  <si>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</si>
  <si>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</si>
  <si>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</si>
  <si>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</si>
  <si>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</si>
  <si>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</si>
  <si>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</si>
  <si>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</si>
  <si>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</si>
  <si>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</si>
  <si>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</si>
  <si>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</si>
  <si>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</si>
  <si>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</si>
  <si>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</si>
  <si>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</si>
  <si>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</si>
  <si>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</si>
  <si>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</si>
  <si>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</si>
  <si>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</si>
  <si>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</si>
  <si>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</si>
  <si>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</si>
  <si>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</si>
  <si>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</si>
  <si>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</si>
  <si>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</si>
  <si>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</si>
  <si>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</si>
  <si>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</si>
  <si>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</si>
  <si>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</si>
  <si>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</si>
  <si>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</si>
  <si>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</si>
  <si>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</si>
  <si>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</si>
  <si>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</si>
  <si>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</si>
  <si>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</si>
  <si>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</si>
  <si>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</si>
  <si>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</si>
  <si>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</si>
  <si>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</si>
  <si>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</si>
  <si>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</si>
  <si>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</si>
  <si>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</si>
  <si>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</si>
  <si>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</si>
  <si>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</si>
  <si>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</si>
  <si>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</si>
  <si>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</si>
  <si>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</si>
  <si>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</si>
  <si>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</si>
  <si>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</si>
  <si>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</si>
  <si>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</si>
  <si>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</si>
  <si>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</si>
  <si>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</si>
  <si>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</si>
  <si>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</si>
  <si>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</si>
  <si>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</si>
  <si>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</si>
  <si>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</si>
  <si>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</si>
  <si>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</si>
  <si>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</si>
  <si>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</si>
  <si>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</si>
  <si>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</si>
  <si>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</si>
  <si>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</si>
  <si>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</si>
  <si>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</si>
  <si>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</si>
  <si>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</si>
  <si>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</si>
  <si>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</si>
  <si>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</si>
  <si>
    <t xml:space="preserve"> + S I X</t>
  </si>
  <si>
    <t>🎒 Backpack Adventure – Master Tracker</t>
  </si>
  <si>
    <t>── LOCATION ──</t>
  </si>
  <si>
    <t>── ITEMS ──</t>
  </si>
  <si>
    <t>── PUZZLE ──</t>
  </si>
  <si>
    <t>── ANSWER ──</t>
  </si>
  <si>
    <t>#</t>
  </si>
  <si>
    <t>Stage Name</t>
  </si>
  <si>
    <t>Location
in Bag</t>
  </si>
  <si>
    <t>← Comes
From Stage</t>
  </si>
  <si>
    <t>Items Used
Here
(needed now)</t>
  </si>
  <si>
    <t>Items
Received Here
(used later →)</t>
  </si>
  <si>
    <t>Puzzle /
Challenge</t>
  </si>
  <si>
    <t>Solution Logic</t>
  </si>
  <si>
    <t>Code /
Answer</t>
  </si>
  <si>
    <t>Unlocks →</t>
  </si>
  <si>
    <t>Difficulty
(1–5)</t>
  </si>
  <si>
    <t>Notes</t>
  </si>
  <si>
    <t>Start of Backpack</t>
  </si>
  <si>
    <t>Main compartment
(top)</t>
  </si>
  <si>
    <t>–</t>
  </si>
  <si>
    <t>Water bottle + stickers
Welcome card with QR code</t>
  </si>
  <si>
    <t>Hidden numbers in
animal stickers</t>
  </si>
  <si>
    <t>Each sticker animal's geological era → one digit
(order of eras = order of digits)</t>
  </si>
  <si>
    <t>7  4  9</t>
  </si>
  <si>
    <t>Front Compartment</t>
  </si>
  <si>
    <t>Front zip
compartment</t>
  </si>
  <si>
    <t>Note card (ADHD &amp; Plushy)
Word search + sudoku page</t>
  </si>
  <si>
    <t>Lego number (0 blue)
Lego hobbies pieces
Sticker with IV blue
→ used in Stage 4</t>
  </si>
  <si>
    <t>Word search + sudoku
combo puzzle</t>
  </si>
  <si>
    <t>Words in search draw digits 7 &amp; 3;
highlighted sudoku box = 4</t>
  </si>
  <si>
    <t>7  3  4</t>
  </si>
  <si>
    <t>Front Pocket</t>
  </si>
  <si>
    <t>Items for later placed here so player carries them without knowing why</t>
  </si>
  <si>
    <t>Small front
pocket</t>
  </si>
  <si>
    <t>Card from grandparents
News article about dog</t>
  </si>
  <si>
    <t>Value of v (on back
of news clipping)
→ used in Stage 4</t>
  </si>
  <si>
    <t>Find the dog's name
on collar in photo</t>
  </si>
  <si>
    <t>Dog collar in news article photo clearly reads MOON</t>
  </si>
  <si>
    <t>M O O N</t>
  </si>
  <si>
    <t>Large Compartment</t>
  </si>
  <si>
    <t>Easy breather before the final hard stage</t>
  </si>
  <si>
    <t>Main large
compartment</t>
  </si>
  <si>
    <t>Lego pieces from Stage 2
Value of v from Stage 3</t>
  </si>
  <si>
    <t>Periodic table
Note about stars and ISS
Calculator</t>
  </si>
  <si>
    <t>Locked pouch + final bag
ISS instructions + Note
Lego cube
Lego jobs pieces</t>
  </si>
  <si>
    <t>Periodic table element
lookup from ISS note</t>
  </si>
  <si>
    <t>Sum atomic numbers of elements in ISS note
(KNoWN PHYSiCS). Requires calculator + periodic table</t>
  </si>
  <si>
    <t>6  2  3</t>
  </si>
  <si>
    <t>Top Pocket (END 🎉)</t>
  </si>
  <si>
    <t>Hardest stage — player must use items collected in stages 2 &amp; 3</t>
  </si>
  <si>
    <t>Introduction</t>
  </si>
  <si>
    <t>Main Handle</t>
  </si>
  <si>
    <t>Escape Backpack QR code card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</si>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</sst>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1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Arial"/>
    </font>
    <font>
      <i/>
      <sz val="8"/>
      <color rgb="FF888888"/>
      <name val="Arial"/>
    </font>
    <font>
      <b/>
      <sz val="10"/>
      <color rgb="FFFFFFFF"/>
      <name val="Arial"/>
    </font>
    <font>
      <b/>
      <sz val="10"/>
      <color rgb="FF222222"/>
      <name val="Arial"/>
    </font>
    <font>
      <sz val="10"/>
      <color rgb="FF222222"/>
      <name val="Arial"/>
    </font>
    <font>
      <sz val="10"/>
      <color rgb="FF888888"/>
      <name val="Arial"/>
    </font>
    <font>
      <b/>
      <sz val="11"/>
      <color rgb="FF222222"/>
      <name val="Arial"/>
    </font>
    <font>
      <i/>
      <sz val="9"/>
      <color rgb="FF555555"/>
      <name val="Arial"/>
    </font>
    <font>
      <i/>
      <sz val="10"/>
      <color rgb="FF7D5800"/>
      <name val="Arial"/>
    </font>
    <font>
      <b/>
      <sz val="10"/>
      <color rgb="FFAAAAAA"/>
      <name val="Arial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  <fill>
      <patternFill patternType="solid">
        <fgColor rgb="FF2C3E6B"/>
      </patternFill>
    </fill>
    <fill>
      <patternFill patternType="solid">
        <fgColor rgb="FF3A7DBF"/>
      </patternFill>
    </fill>
    <fill>
      <patternFill patternType="solid">
        <fgColor rgb="FFC8960C"/>
      </patternFill>
    </fill>
    <fill>
      <patternFill patternType="solid">
        <fgColor rgb="FF2E7D52"/>
      </patternFill>
    </fill>
    <fill>
      <patternFill patternType="solid">
        <fgColor rgb="FFB8560A"/>
      </patternFill>
    </fill>
    <fill>
      <patternFill patternType="solid">
        <fgColor rgb="FF5E35A8"/>
      </patternFill>
    </fill>
    <fill>
      <patternFill patternType="solid">
        <fgColor rgb="FFFFFFFF"/>
      </patternFill>
    </fill>
    <fill>
      <patternFill patternType="solid">
        <fgColor rgb="FFD6E8F7"/>
      </patternFill>
    </fill>
    <fill>
      <patternFill patternType="solid">
        <fgColor rgb="FFE8F5E9"/>
      </patternFill>
    </fill>
    <fill>
      <patternFill patternType="solid">
        <fgColor rgb="FFFDE8C8"/>
      </patternFill>
    </fill>
    <fill>
      <patternFill patternType="solid">
        <fgColor rgb="FFEDE0F5"/>
      </patternFill>
    </fill>
    <fill>
      <patternFill patternType="solid">
        <fgColor rgb="FFF4F8FD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9" fillId="0" borderId="0" xfId="0" applyFont="1" applyAlignment="1">
      <alignment horizontal="center" vertical="center"/>
    </xf>
    <xf numFmtId="0" fontId="10" fillId="6" borderId="10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10" fillId="8" borderId="1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left" vertical="center" wrapText="1"/>
    </xf>
    <xf numFmtId="0" fontId="12" fillId="12" borderId="10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2" borderId="10" xfId="0" applyFont="1" applyFill="1" applyBorder="1" applyAlignment="1">
      <alignment horizontal="left" vertical="center" wrapText="1"/>
    </xf>
    <xf numFmtId="0" fontId="12" fillId="14" borderId="10" xfId="0" applyFont="1" applyFill="1" applyBorder="1" applyAlignment="1">
      <alignment horizontal="left" vertical="center" wrapText="1"/>
    </xf>
    <xf numFmtId="0" fontId="14" fillId="15" borderId="10" xfId="0" applyFont="1" applyFill="1" applyBorder="1" applyAlignment="1">
      <alignment horizontal="center" vertical="center" wrapText="1"/>
    </xf>
    <xf numFmtId="0" fontId="11" fillId="16" borderId="10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5" fillId="12" borderId="10" xfId="0" applyFont="1" applyFill="1" applyBorder="1" applyAlignment="1">
      <alignment horizontal="left" vertical="center" wrapText="1"/>
    </xf>
    <xf numFmtId="0" fontId="11" fillId="17" borderId="10" xfId="0" applyFont="1" applyFill="1" applyBorder="1" applyAlignment="1">
      <alignment horizontal="center" vertical="center" wrapText="1"/>
    </xf>
    <xf numFmtId="0" fontId="11" fillId="17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left" vertical="center" wrapText="1"/>
    </xf>
    <xf numFmtId="0" fontId="16" fillId="18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0" fontId="12" fillId="18" borderId="10" xfId="0" applyFont="1" applyFill="1" applyBorder="1" applyAlignment="1">
      <alignment horizontal="left" vertical="center" wrapText="1"/>
    </xf>
    <xf numFmtId="0" fontId="12" fillId="15" borderId="10" xfId="0" applyFont="1" applyFill="1" applyBorder="1" applyAlignment="1">
      <alignment horizontal="left" vertical="center" wrapText="1"/>
    </xf>
    <xf numFmtId="0" fontId="12" fillId="16" borderId="10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71C-67F3-4A93-A173-F5ACBB578192}">
  <sheetPr>
    <tabColor theme="9" tint="-0.249977111117893"/>
  </sheetPr>
  <dimension ref="A1:L9"/>
  <sheetViews>
    <sheetView showGridLines="0" tabSelected="1" workbookViewId="0">
      <pane ySplit="3" topLeftCell="A4" activePane="bottomLeft" state="frozen"/>
      <selection pane="bottomLeft" activeCell="E5" sqref="E5"/>
    </sheetView>
  </sheetViews>
  <sheetFormatPr defaultRowHeight="15" x14ac:dyDescent="0.25"/>
  <cols>
    <col min="1" max="1" width="4" customWidth="1"/>
    <col min="2" max="2" width="18" customWidth="1"/>
    <col min="3" max="3" width="24" customWidth="1"/>
    <col min="4" max="4" width="20" customWidth="1"/>
    <col min="5" max="6" width="24" customWidth="1"/>
    <col min="7" max="7" width="22" customWidth="1"/>
    <col min="8" max="8" width="32" customWidth="1"/>
    <col min="9" max="9" width="12" customWidth="1"/>
    <col min="10" max="10" width="18" customWidth="1"/>
    <col min="11" max="11" width="10" customWidth="1"/>
    <col min="12" max="12" width="26" customWidth="1"/>
  </cols>
  <sheetData>
    <row r="1" spans="1:12" ht="38.1" customHeight="1" x14ac:dyDescent="0.25">
      <c r="A1" s="54" t="s">
        <v>131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2" spans="1:12" ht="15.95" customHeight="1" x14ac:dyDescent="0.25">
      <c r="A2" s="12"/>
      <c r="B2" s="12"/>
      <c r="C2" s="12" t="s">
        <v>132</v>
      </c>
      <c r="D2" s="12"/>
      <c r="E2" s="12" t="s">
        <v>133</v>
      </c>
      <c r="F2" s="12"/>
      <c r="G2" s="12" t="s">
        <v>134</v>
      </c>
      <c r="H2" s="12"/>
      <c r="I2" s="12" t="s">
        <v>135</v>
      </c>
      <c r="J2" s="12"/>
      <c r="K2" s="12"/>
      <c r="L2" s="12"/>
    </row>
    <row r="3" spans="1:12" ht="38.1" customHeight="1" x14ac:dyDescent="0.25">
      <c r="A3" s="13" t="s">
        <v>136</v>
      </c>
      <c r="B3" s="13" t="s">
        <v>137</v>
      </c>
      <c r="C3" s="13" t="s">
        <v>138</v>
      </c>
      <c r="D3" s="13" t="s">
        <v>139</v>
      </c>
      <c r="E3" s="14" t="s">
        <v>140</v>
      </c>
      <c r="F3" s="15" t="s">
        <v>141</v>
      </c>
      <c r="G3" s="13" t="s">
        <v>142</v>
      </c>
      <c r="H3" s="16" t="s">
        <v>143</v>
      </c>
      <c r="I3" s="17" t="s">
        <v>144</v>
      </c>
      <c r="J3" s="18" t="s">
        <v>145</v>
      </c>
      <c r="K3" s="13" t="s">
        <v>146</v>
      </c>
      <c r="L3" s="13" t="s">
        <v>147</v>
      </c>
    </row>
    <row r="4" spans="1:12" ht="38.1" customHeight="1" x14ac:dyDescent="0.25">
      <c r="A4" s="19">
        <v>0</v>
      </c>
      <c r="B4" s="20" t="s">
        <v>181</v>
      </c>
      <c r="C4" s="21" t="s">
        <v>182</v>
      </c>
      <c r="D4" s="21" t="s">
        <v>184</v>
      </c>
      <c r="E4" s="22" t="s">
        <v>183</v>
      </c>
      <c r="F4" s="23" t="s">
        <v>184</v>
      </c>
      <c r="G4" s="21" t="s">
        <v>184</v>
      </c>
      <c r="H4" s="24" t="s">
        <v>184</v>
      </c>
      <c r="I4" s="25" t="s">
        <v>184</v>
      </c>
      <c r="J4" s="26" t="s">
        <v>184</v>
      </c>
      <c r="K4" s="27"/>
      <c r="L4" s="28"/>
    </row>
    <row r="5" spans="1:12" ht="72" customHeight="1" x14ac:dyDescent="0.25">
      <c r="A5" s="19">
        <v>1</v>
      </c>
      <c r="B5" s="20" t="s">
        <v>148</v>
      </c>
      <c r="C5" s="21" t="s">
        <v>149</v>
      </c>
      <c r="D5" s="21" t="s">
        <v>150</v>
      </c>
      <c r="E5" s="22" t="s">
        <v>151</v>
      </c>
      <c r="F5" s="23" t="s">
        <v>150</v>
      </c>
      <c r="G5" s="21" t="s">
        <v>152</v>
      </c>
      <c r="H5" s="24" t="s">
        <v>153</v>
      </c>
      <c r="I5" s="25" t="s">
        <v>154</v>
      </c>
      <c r="J5" s="26" t="s">
        <v>155</v>
      </c>
      <c r="K5" s="27">
        <v>3</v>
      </c>
      <c r="L5" s="28"/>
    </row>
    <row r="6" spans="1:12" ht="72" customHeight="1" x14ac:dyDescent="0.25">
      <c r="A6" s="29">
        <v>2</v>
      </c>
      <c r="B6" s="30" t="s">
        <v>155</v>
      </c>
      <c r="C6" s="31" t="s">
        <v>156</v>
      </c>
      <c r="D6" s="31" t="s">
        <v>150</v>
      </c>
      <c r="E6" s="22" t="s">
        <v>157</v>
      </c>
      <c r="F6" s="32" t="s">
        <v>158</v>
      </c>
      <c r="G6" s="31" t="s">
        <v>159</v>
      </c>
      <c r="H6" s="24" t="s">
        <v>160</v>
      </c>
      <c r="I6" s="25" t="s">
        <v>161</v>
      </c>
      <c r="J6" s="26" t="s">
        <v>162</v>
      </c>
      <c r="K6" s="33">
        <v>3</v>
      </c>
      <c r="L6" s="34" t="s">
        <v>163</v>
      </c>
    </row>
    <row r="7" spans="1:12" ht="72" customHeight="1" x14ac:dyDescent="0.25">
      <c r="A7" s="19">
        <v>3</v>
      </c>
      <c r="B7" s="20" t="s">
        <v>162</v>
      </c>
      <c r="C7" s="21" t="s">
        <v>164</v>
      </c>
      <c r="D7" s="21" t="s">
        <v>150</v>
      </c>
      <c r="E7" s="22" t="s">
        <v>165</v>
      </c>
      <c r="F7" s="32" t="s">
        <v>166</v>
      </c>
      <c r="G7" s="21" t="s">
        <v>167</v>
      </c>
      <c r="H7" s="24" t="s">
        <v>168</v>
      </c>
      <c r="I7" s="25" t="s">
        <v>169</v>
      </c>
      <c r="J7" s="26" t="s">
        <v>170</v>
      </c>
      <c r="K7" s="27">
        <v>2</v>
      </c>
      <c r="L7" s="28" t="s">
        <v>171</v>
      </c>
    </row>
    <row r="8" spans="1:12" ht="72" customHeight="1" x14ac:dyDescent="0.25">
      <c r="A8" s="29">
        <v>4</v>
      </c>
      <c r="B8" s="30" t="s">
        <v>170</v>
      </c>
      <c r="C8" s="31" t="s">
        <v>172</v>
      </c>
      <c r="D8" s="32" t="s">
        <v>173</v>
      </c>
      <c r="E8" s="22" t="s">
        <v>174</v>
      </c>
      <c r="F8" s="32" t="s">
        <v>175</v>
      </c>
      <c r="G8" s="31" t="s">
        <v>176</v>
      </c>
      <c r="H8" s="24" t="s">
        <v>177</v>
      </c>
      <c r="I8" s="25" t="s">
        <v>178</v>
      </c>
      <c r="J8" s="26" t="s">
        <v>179</v>
      </c>
      <c r="K8" s="33">
        <v>4</v>
      </c>
      <c r="L8" s="34" t="s">
        <v>180</v>
      </c>
    </row>
    <row r="9" spans="1:12" ht="54.95" customHeight="1" x14ac:dyDescent="0.25">
      <c r="A9" s="35">
        <v>5</v>
      </c>
      <c r="B9" s="31"/>
      <c r="C9" s="31"/>
      <c r="D9" s="31"/>
      <c r="E9" s="22"/>
      <c r="F9" s="36"/>
      <c r="G9" s="31"/>
      <c r="H9" s="24"/>
      <c r="I9" s="37"/>
      <c r="J9" s="38"/>
      <c r="K9" s="31"/>
      <c r="L9" s="31"/>
    </row>
  </sheetData>
  <mergeCells count="1">
    <mergeCell ref="A1:L1"/>
  </mergeCells>
  <dataValidations count="1">
    <dataValidation type="list" allowBlank="1" sqref="K5:K9" xr:uid="{7DED192A-EA34-4354-885F-7C051375C938}">
      <formula1>"1,2,3,4,5"</formula1>
    </dataValidation>
  </dataValidations>
  <pageMargins left="0.75" right="0.75" top="1" bottom="1" header="0.5" footer="0.5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895D-374E-47E9-B67F-28D3C51CD256}">
  <dimension ref="A1"/>
  <sheetViews>
    <sheetView workbookViewId="0"/>
  </sheetViews>
  <sheetFormatPr defaultRowHeight="15" x14ac:dyDescent="0.25"/>
  <sheetData/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115</v>
      </c>
      <c r="C7" s="11" t="s">
        <v>120</v>
      </c>
    </row>
    <row r="8" spans="1:13" x14ac:dyDescent="0.25">
      <c r="B8" t="s">
        <v>116</v>
      </c>
      <c r="C8">
        <v>3</v>
      </c>
      <c r="D8" t="s">
        <v>117</v>
      </c>
    </row>
    <row r="9" spans="1:13" x14ac:dyDescent="0.25">
      <c r="B9" t="s">
        <v>118</v>
      </c>
      <c r="C9">
        <v>3.4</v>
      </c>
      <c r="D9" t="s">
        <v>117</v>
      </c>
    </row>
    <row r="10" spans="1:13" x14ac:dyDescent="0.25">
      <c r="B10" t="s">
        <v>119</v>
      </c>
      <c r="C10">
        <v>16.7</v>
      </c>
      <c r="D10" t="s">
        <v>117</v>
      </c>
    </row>
    <row r="12" spans="1:13" x14ac:dyDescent="0.25">
      <c r="K12" t="s">
        <v>125</v>
      </c>
    </row>
    <row r="13" spans="1:13" x14ac:dyDescent="0.25">
      <c r="A13" t="s">
        <v>121</v>
      </c>
      <c r="B13" t="s">
        <v>122</v>
      </c>
      <c r="C13">
        <v>13.9</v>
      </c>
      <c r="D13" t="s">
        <v>124</v>
      </c>
      <c r="E13">
        <f>C13-(C8+C10)/10</f>
        <v>11.93</v>
      </c>
      <c r="F13" t="s">
        <v>124</v>
      </c>
      <c r="G13">
        <f>E13*3</f>
        <v>35.79</v>
      </c>
      <c r="I13">
        <v>31</v>
      </c>
      <c r="J13" t="s">
        <v>124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123</v>
      </c>
      <c r="C14">
        <v>21.3</v>
      </c>
      <c r="D14" t="s">
        <v>124</v>
      </c>
      <c r="E14">
        <f>C14-2*C9/10</f>
        <v>20.62</v>
      </c>
      <c r="F14" t="s">
        <v>124</v>
      </c>
      <c r="G14">
        <f>E14*3</f>
        <v>61.86</v>
      </c>
      <c r="I14">
        <v>20</v>
      </c>
      <c r="J14" t="s">
        <v>124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Q2" workbookViewId="0">
      <selection activeCell="AS40" sqref="AS39:AS40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20</v>
      </c>
      <c r="T2" s="1">
        <f t="shared" ref="T2:AL15" ca="1" si="0">MAX(ROUND(RAND()*26,0),1)</f>
        <v>1</v>
      </c>
      <c r="U2" s="1">
        <f t="shared" ca="1" si="0"/>
        <v>17</v>
      </c>
      <c r="V2" s="1">
        <f t="shared" ca="1" si="0"/>
        <v>2</v>
      </c>
      <c r="W2" s="1">
        <f t="shared" ca="1" si="0"/>
        <v>21</v>
      </c>
      <c r="X2" s="1">
        <f t="shared" ca="1" si="0"/>
        <v>6</v>
      </c>
      <c r="Y2" s="1">
        <f t="shared" ca="1" si="0"/>
        <v>2</v>
      </c>
      <c r="Z2" s="1">
        <f t="shared" ca="1" si="0"/>
        <v>8</v>
      </c>
      <c r="AA2" s="1">
        <f t="shared" ca="1" si="0"/>
        <v>11</v>
      </c>
      <c r="AB2" s="1">
        <f t="shared" ca="1" si="0"/>
        <v>2</v>
      </c>
      <c r="AC2" s="1">
        <f t="shared" ca="1" si="0"/>
        <v>23</v>
      </c>
      <c r="AD2" s="1">
        <f t="shared" ca="1" si="0"/>
        <v>3</v>
      </c>
      <c r="AE2" s="1">
        <f t="shared" ca="1" si="0"/>
        <v>1</v>
      </c>
      <c r="AF2" s="1">
        <f t="shared" ca="1" si="0"/>
        <v>10</v>
      </c>
      <c r="AG2" s="1">
        <f t="shared" ca="1" si="0"/>
        <v>10</v>
      </c>
      <c r="AH2" s="1">
        <f t="shared" ca="1" si="0"/>
        <v>13</v>
      </c>
      <c r="AI2" s="1">
        <f t="shared" ca="1" si="0"/>
        <v>14</v>
      </c>
      <c r="AJ2" s="1">
        <f t="shared" ca="1" si="0"/>
        <v>1</v>
      </c>
      <c r="AK2" s="1">
        <f t="shared" ca="1" si="0"/>
        <v>14</v>
      </c>
      <c r="AL2" s="1">
        <f t="shared" ca="1" si="0"/>
        <v>2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18</v>
      </c>
      <c r="T3" s="1">
        <f t="shared" ca="1" si="0"/>
        <v>19</v>
      </c>
      <c r="U3" s="1">
        <f t="shared" ca="1" si="0"/>
        <v>14</v>
      </c>
      <c r="V3" s="1">
        <f t="shared" ca="1" si="0"/>
        <v>13</v>
      </c>
      <c r="W3" s="1">
        <f t="shared" ca="1" si="0"/>
        <v>6</v>
      </c>
      <c r="X3" s="1">
        <f t="shared" ca="1" si="0"/>
        <v>2</v>
      </c>
      <c r="Y3" s="1">
        <f t="shared" ca="1" si="0"/>
        <v>23</v>
      </c>
      <c r="Z3" s="1">
        <f t="shared" ca="1" si="0"/>
        <v>3</v>
      </c>
      <c r="AA3" s="1">
        <f t="shared" ca="1" si="0"/>
        <v>6</v>
      </c>
      <c r="AB3" s="1">
        <f t="shared" ca="1" si="0"/>
        <v>21</v>
      </c>
      <c r="AC3" s="1">
        <f t="shared" ca="1" si="0"/>
        <v>21</v>
      </c>
      <c r="AD3" s="1">
        <f t="shared" ca="1" si="0"/>
        <v>10</v>
      </c>
      <c r="AE3" s="1">
        <f t="shared" ca="1" si="0"/>
        <v>13</v>
      </c>
      <c r="AF3" s="1">
        <f t="shared" ca="1" si="0"/>
        <v>6</v>
      </c>
      <c r="AG3" s="1">
        <f t="shared" ca="1" si="0"/>
        <v>25</v>
      </c>
      <c r="AH3" s="1">
        <f t="shared" ca="1" si="0"/>
        <v>26</v>
      </c>
      <c r="AI3" s="1">
        <f t="shared" ca="1" si="0"/>
        <v>17</v>
      </c>
      <c r="AJ3" s="1">
        <f t="shared" ca="1" si="0"/>
        <v>9</v>
      </c>
      <c r="AK3" s="1">
        <f t="shared" ca="1" si="0"/>
        <v>8</v>
      </c>
      <c r="AL3" s="1">
        <f t="shared" ca="1" si="0"/>
        <v>24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18</v>
      </c>
      <c r="T4" s="1">
        <f t="shared" ca="1" si="0"/>
        <v>17</v>
      </c>
      <c r="U4" s="1">
        <f t="shared" ca="1" si="0"/>
        <v>22</v>
      </c>
      <c r="V4" s="1">
        <f t="shared" ca="1" si="0"/>
        <v>2</v>
      </c>
      <c r="W4" s="1">
        <f t="shared" ca="1" si="0"/>
        <v>5</v>
      </c>
      <c r="X4" s="1">
        <f t="shared" ca="1" si="0"/>
        <v>25</v>
      </c>
      <c r="Y4" s="1">
        <f t="shared" ca="1" si="0"/>
        <v>2</v>
      </c>
      <c r="Z4" s="1">
        <f t="shared" ca="1" si="0"/>
        <v>19</v>
      </c>
      <c r="AA4" s="1">
        <f t="shared" ca="1" si="0"/>
        <v>3</v>
      </c>
      <c r="AB4" s="1">
        <f t="shared" ca="1" si="0"/>
        <v>8</v>
      </c>
      <c r="AC4" s="1">
        <f t="shared" ca="1" si="0"/>
        <v>2</v>
      </c>
      <c r="AD4" s="1">
        <f t="shared" ca="1" si="0"/>
        <v>23</v>
      </c>
      <c r="AE4" s="1">
        <f t="shared" ca="1" si="0"/>
        <v>13</v>
      </c>
      <c r="AF4" s="1">
        <f t="shared" ca="1" si="0"/>
        <v>8</v>
      </c>
      <c r="AG4" s="1">
        <f t="shared" ca="1" si="0"/>
        <v>23</v>
      </c>
      <c r="AH4" s="1">
        <f t="shared" ca="1" si="0"/>
        <v>24</v>
      </c>
      <c r="AI4" s="1">
        <f t="shared" ca="1" si="0"/>
        <v>2</v>
      </c>
      <c r="AJ4" s="1">
        <f t="shared" ca="1" si="0"/>
        <v>23</v>
      </c>
      <c r="AK4" s="1">
        <f t="shared" ca="1" si="0"/>
        <v>14</v>
      </c>
      <c r="AL4" s="1">
        <f t="shared" ca="1" si="0"/>
        <v>21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25</v>
      </c>
      <c r="T5" s="1">
        <f t="shared" ca="1" si="0"/>
        <v>2</v>
      </c>
      <c r="U5" s="1">
        <f t="shared" ca="1" si="0"/>
        <v>3</v>
      </c>
      <c r="V5" s="1">
        <f t="shared" ca="1" si="0"/>
        <v>16</v>
      </c>
      <c r="W5" s="1">
        <f t="shared" ca="1" si="0"/>
        <v>24</v>
      </c>
      <c r="X5" s="1">
        <f t="shared" ca="1" si="0"/>
        <v>26</v>
      </c>
      <c r="Y5" s="1">
        <f t="shared" ca="1" si="0"/>
        <v>25</v>
      </c>
      <c r="Z5" s="1">
        <f t="shared" ca="1" si="0"/>
        <v>15</v>
      </c>
      <c r="AA5" s="1">
        <f t="shared" ca="1" si="0"/>
        <v>18</v>
      </c>
      <c r="AB5" s="1">
        <f t="shared" ca="1" si="0"/>
        <v>15</v>
      </c>
      <c r="AC5" s="1">
        <f t="shared" ca="1" si="0"/>
        <v>9</v>
      </c>
      <c r="AD5" s="1">
        <f t="shared" ca="1" si="0"/>
        <v>20</v>
      </c>
      <c r="AE5" s="1">
        <f t="shared" ca="1" si="0"/>
        <v>18</v>
      </c>
      <c r="AF5" s="1">
        <f t="shared" ca="1" si="0"/>
        <v>15</v>
      </c>
      <c r="AG5" s="1">
        <f t="shared" ca="1" si="0"/>
        <v>5</v>
      </c>
      <c r="AH5" s="1">
        <f t="shared" ca="1" si="0"/>
        <v>6</v>
      </c>
      <c r="AI5" s="1">
        <f t="shared" ca="1" si="0"/>
        <v>11</v>
      </c>
      <c r="AJ5" s="1">
        <f t="shared" ca="1" si="0"/>
        <v>15</v>
      </c>
      <c r="AK5" s="1">
        <f t="shared" ca="1" si="0"/>
        <v>21</v>
      </c>
      <c r="AL5" s="1">
        <f t="shared" ca="1" si="0"/>
        <v>12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25</v>
      </c>
      <c r="T6" s="1">
        <f t="shared" ca="1" si="0"/>
        <v>8</v>
      </c>
      <c r="U6" s="1">
        <f t="shared" ca="1" si="0"/>
        <v>17</v>
      </c>
      <c r="V6" s="1">
        <f t="shared" ca="1" si="0"/>
        <v>8</v>
      </c>
      <c r="W6" s="1">
        <f t="shared" ca="1" si="0"/>
        <v>7</v>
      </c>
      <c r="X6" s="1">
        <f t="shared" ca="1" si="0"/>
        <v>25</v>
      </c>
      <c r="Y6" s="1">
        <f t="shared" ca="1" si="0"/>
        <v>4</v>
      </c>
      <c r="Z6" s="1">
        <f t="shared" ca="1" si="0"/>
        <v>19</v>
      </c>
      <c r="AA6" s="1">
        <f t="shared" ca="1" si="0"/>
        <v>9</v>
      </c>
      <c r="AB6" s="1">
        <f t="shared" ca="1" si="0"/>
        <v>16</v>
      </c>
      <c r="AC6" s="1">
        <f t="shared" ca="1" si="0"/>
        <v>14</v>
      </c>
      <c r="AD6" s="1">
        <f t="shared" ca="1" si="0"/>
        <v>10</v>
      </c>
      <c r="AE6" s="1">
        <f t="shared" ca="1" si="0"/>
        <v>25</v>
      </c>
      <c r="AF6" s="1">
        <f t="shared" ca="1" si="0"/>
        <v>17</v>
      </c>
      <c r="AG6" s="1">
        <f t="shared" ca="1" si="0"/>
        <v>17</v>
      </c>
      <c r="AH6" s="1">
        <f t="shared" ca="1" si="0"/>
        <v>12</v>
      </c>
      <c r="AI6" s="1">
        <f t="shared" ca="1" si="0"/>
        <v>6</v>
      </c>
      <c r="AJ6" s="1">
        <f t="shared" ca="1" si="0"/>
        <v>10</v>
      </c>
      <c r="AK6" s="1">
        <f t="shared" ca="1" si="0"/>
        <v>18</v>
      </c>
      <c r="AL6" s="1">
        <f t="shared" ca="1" si="0"/>
        <v>8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17</v>
      </c>
      <c r="T7" s="1">
        <f t="shared" ca="1" si="0"/>
        <v>5</v>
      </c>
      <c r="U7" s="1">
        <f t="shared" ca="1" si="0"/>
        <v>2</v>
      </c>
      <c r="V7" s="1">
        <f t="shared" ca="1" si="0"/>
        <v>15</v>
      </c>
      <c r="W7" s="1">
        <f t="shared" ca="1" si="0"/>
        <v>2</v>
      </c>
      <c r="X7" s="1">
        <f t="shared" ca="1" si="0"/>
        <v>14</v>
      </c>
      <c r="Y7" s="1">
        <f t="shared" ca="1" si="0"/>
        <v>8</v>
      </c>
      <c r="Z7" s="1">
        <f t="shared" ca="1" si="0"/>
        <v>10</v>
      </c>
      <c r="AA7" s="1">
        <f t="shared" ca="1" si="0"/>
        <v>14</v>
      </c>
      <c r="AB7" s="1">
        <f t="shared" ca="1" si="0"/>
        <v>7</v>
      </c>
      <c r="AC7" s="1">
        <f t="shared" ca="1" si="0"/>
        <v>2</v>
      </c>
      <c r="AD7" s="1">
        <f t="shared" ca="1" si="0"/>
        <v>1</v>
      </c>
      <c r="AE7" s="1">
        <f t="shared" ca="1" si="0"/>
        <v>19</v>
      </c>
      <c r="AF7" s="1">
        <f t="shared" ca="1" si="0"/>
        <v>12</v>
      </c>
      <c r="AG7" s="1">
        <f t="shared" ca="1" si="0"/>
        <v>18</v>
      </c>
      <c r="AH7" s="1">
        <f t="shared" ca="1" si="0"/>
        <v>15</v>
      </c>
      <c r="AI7" s="1">
        <f t="shared" ca="1" si="0"/>
        <v>3</v>
      </c>
      <c r="AJ7" s="1">
        <f t="shared" ca="1" si="0"/>
        <v>11</v>
      </c>
      <c r="AK7" s="1">
        <f t="shared" ca="1" si="0"/>
        <v>13</v>
      </c>
      <c r="AL7" s="1">
        <f t="shared" ca="1" si="0"/>
        <v>9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11</v>
      </c>
      <c r="T8" s="1">
        <f t="shared" ca="1" si="0"/>
        <v>6</v>
      </c>
      <c r="U8" s="1">
        <f t="shared" ca="1" si="0"/>
        <v>20</v>
      </c>
      <c r="V8" s="1">
        <f t="shared" ca="1" si="0"/>
        <v>2</v>
      </c>
      <c r="W8" s="1">
        <f t="shared" ca="1" si="0"/>
        <v>10</v>
      </c>
      <c r="X8" s="1">
        <f t="shared" ca="1" si="0"/>
        <v>7</v>
      </c>
      <c r="Y8" s="1">
        <f t="shared" ca="1" si="0"/>
        <v>11</v>
      </c>
      <c r="Z8" s="1">
        <f t="shared" ca="1" si="0"/>
        <v>15</v>
      </c>
      <c r="AA8" s="1">
        <f t="shared" ca="1" si="0"/>
        <v>1</v>
      </c>
      <c r="AB8" s="1">
        <f t="shared" ca="1" si="0"/>
        <v>1</v>
      </c>
      <c r="AC8" s="1">
        <f t="shared" ca="1" si="0"/>
        <v>5</v>
      </c>
      <c r="AD8" s="1">
        <f t="shared" ca="1" si="0"/>
        <v>19</v>
      </c>
      <c r="AE8" s="1">
        <f t="shared" ca="1" si="0"/>
        <v>1</v>
      </c>
      <c r="AF8" s="1">
        <f t="shared" ca="1" si="0"/>
        <v>25</v>
      </c>
      <c r="AG8" s="1">
        <f t="shared" ca="1" si="0"/>
        <v>2</v>
      </c>
      <c r="AH8" s="1">
        <f t="shared" ca="1" si="0"/>
        <v>14</v>
      </c>
      <c r="AI8" s="1">
        <f t="shared" ca="1" si="0"/>
        <v>13</v>
      </c>
      <c r="AJ8" s="1">
        <f t="shared" ca="1" si="0"/>
        <v>9</v>
      </c>
      <c r="AK8" s="1">
        <f t="shared" ca="1" si="0"/>
        <v>13</v>
      </c>
      <c r="AL8" s="1">
        <f t="shared" ca="1" si="0"/>
        <v>19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16</v>
      </c>
      <c r="T9" s="1">
        <f t="shared" ca="1" si="0"/>
        <v>2</v>
      </c>
      <c r="U9" s="1">
        <f t="shared" ca="1" si="0"/>
        <v>23</v>
      </c>
      <c r="V9" s="1">
        <f t="shared" ca="1" si="0"/>
        <v>18</v>
      </c>
      <c r="W9" s="1">
        <f t="shared" ca="1" si="0"/>
        <v>16</v>
      </c>
      <c r="X9" s="1">
        <f t="shared" ca="1" si="0"/>
        <v>5</v>
      </c>
      <c r="Y9" s="1">
        <f t="shared" ca="1" si="0"/>
        <v>15</v>
      </c>
      <c r="Z9" s="1">
        <f t="shared" ca="1" si="0"/>
        <v>12</v>
      </c>
      <c r="AA9" s="1">
        <f t="shared" ca="1" si="0"/>
        <v>4</v>
      </c>
      <c r="AB9" s="1">
        <f t="shared" ca="1" si="0"/>
        <v>8</v>
      </c>
      <c r="AC9" s="1">
        <f t="shared" ca="1" si="0"/>
        <v>2</v>
      </c>
      <c r="AD9" s="1">
        <f t="shared" ca="1" si="0"/>
        <v>2</v>
      </c>
      <c r="AE9" s="1">
        <f t="shared" ca="1" si="0"/>
        <v>15</v>
      </c>
      <c r="AF9" s="1">
        <f t="shared" ca="1" si="0"/>
        <v>20</v>
      </c>
      <c r="AG9" s="1">
        <f t="shared" ca="1" si="0"/>
        <v>17</v>
      </c>
      <c r="AH9" s="1">
        <f t="shared" ca="1" si="0"/>
        <v>17</v>
      </c>
      <c r="AI9" s="1">
        <f t="shared" ca="1" si="0"/>
        <v>1</v>
      </c>
      <c r="AJ9" s="1">
        <f t="shared" ca="1" si="0"/>
        <v>3</v>
      </c>
      <c r="AK9" s="1">
        <f t="shared" ca="1" si="0"/>
        <v>9</v>
      </c>
      <c r="AL9" s="1">
        <f t="shared" ca="1" si="0"/>
        <v>6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3</v>
      </c>
      <c r="T10" s="1">
        <f t="shared" ca="1" si="0"/>
        <v>9</v>
      </c>
      <c r="U10" s="1">
        <f t="shared" ca="1" si="0"/>
        <v>10</v>
      </c>
      <c r="V10" s="1">
        <f t="shared" ca="1" si="0"/>
        <v>7</v>
      </c>
      <c r="W10" s="1">
        <f t="shared" ca="1" si="0"/>
        <v>17</v>
      </c>
      <c r="X10" s="1">
        <f t="shared" ca="1" si="0"/>
        <v>24</v>
      </c>
      <c r="Y10" s="1">
        <f t="shared" ca="1" si="0"/>
        <v>11</v>
      </c>
      <c r="Z10" s="1">
        <f t="shared" ca="1" si="0"/>
        <v>19</v>
      </c>
      <c r="AA10" s="1">
        <f t="shared" ca="1" si="0"/>
        <v>22</v>
      </c>
      <c r="AB10" s="1">
        <f t="shared" ca="1" si="0"/>
        <v>23</v>
      </c>
      <c r="AC10" s="1">
        <f t="shared" ca="1" si="0"/>
        <v>22</v>
      </c>
      <c r="AD10" s="1">
        <f t="shared" ca="1" si="0"/>
        <v>15</v>
      </c>
      <c r="AE10" s="1">
        <f t="shared" ca="1" si="0"/>
        <v>12</v>
      </c>
      <c r="AF10" s="1">
        <f t="shared" ca="1" si="0"/>
        <v>19</v>
      </c>
      <c r="AG10" s="1">
        <f t="shared" ca="1" si="0"/>
        <v>21</v>
      </c>
      <c r="AH10" s="1">
        <f t="shared" ca="1" si="0"/>
        <v>8</v>
      </c>
      <c r="AI10" s="1">
        <f t="shared" ca="1" si="0"/>
        <v>13</v>
      </c>
      <c r="AJ10" s="1">
        <f t="shared" ca="1" si="0"/>
        <v>16</v>
      </c>
      <c r="AK10" s="1">
        <f t="shared" ca="1" si="0"/>
        <v>3</v>
      </c>
      <c r="AL10" s="1">
        <f t="shared" ca="1" si="0"/>
        <v>8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13</v>
      </c>
      <c r="T11" s="1">
        <f t="shared" ca="1" si="0"/>
        <v>4</v>
      </c>
      <c r="U11" s="1">
        <f t="shared" ca="1" si="0"/>
        <v>8</v>
      </c>
      <c r="V11" s="1">
        <f t="shared" ca="1" si="0"/>
        <v>1</v>
      </c>
      <c r="W11" s="1">
        <f t="shared" ca="1" si="0"/>
        <v>4</v>
      </c>
      <c r="X11" s="1">
        <f t="shared" ca="1" si="0"/>
        <v>1</v>
      </c>
      <c r="Y11" s="1">
        <f t="shared" ca="1" si="0"/>
        <v>13</v>
      </c>
      <c r="Z11" s="1">
        <f t="shared" ca="1" si="0"/>
        <v>19</v>
      </c>
      <c r="AA11" s="1">
        <f t="shared" ca="1" si="0"/>
        <v>8</v>
      </c>
      <c r="AB11" s="1">
        <f t="shared" ca="1" si="0"/>
        <v>20</v>
      </c>
      <c r="AC11" s="1">
        <f t="shared" ca="1" si="0"/>
        <v>23</v>
      </c>
      <c r="AD11" s="1">
        <f t="shared" ca="1" si="0"/>
        <v>10</v>
      </c>
      <c r="AE11" s="1">
        <f t="shared" ca="1" si="0"/>
        <v>19</v>
      </c>
      <c r="AF11" s="1">
        <f t="shared" ca="1" si="0"/>
        <v>24</v>
      </c>
      <c r="AG11" s="1">
        <f t="shared" ca="1" si="0"/>
        <v>16</v>
      </c>
      <c r="AH11" s="1">
        <f t="shared" ca="1" si="0"/>
        <v>10</v>
      </c>
      <c r="AI11" s="1">
        <f t="shared" ca="1" si="0"/>
        <v>19</v>
      </c>
      <c r="AJ11" s="1">
        <f t="shared" ca="1" si="0"/>
        <v>5</v>
      </c>
      <c r="AK11" s="1">
        <f t="shared" ca="1" si="0"/>
        <v>25</v>
      </c>
      <c r="AL11" s="1">
        <f t="shared" ca="1" si="0"/>
        <v>7</v>
      </c>
      <c r="AN11" t="s">
        <v>13</v>
      </c>
      <c r="AO11" s="1">
        <v>11</v>
      </c>
      <c r="AS11" s="10" t="s">
        <v>130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9</v>
      </c>
      <c r="T12" s="1">
        <f t="shared" ca="1" si="0"/>
        <v>17</v>
      </c>
      <c r="U12" s="1">
        <f t="shared" ca="1" si="0"/>
        <v>6</v>
      </c>
      <c r="V12" s="1">
        <f t="shared" ca="1" si="0"/>
        <v>18</v>
      </c>
      <c r="W12" s="1">
        <f t="shared" ca="1" si="0"/>
        <v>10</v>
      </c>
      <c r="X12" s="1">
        <f t="shared" ca="1" si="0"/>
        <v>7</v>
      </c>
      <c r="Y12" s="1">
        <f t="shared" ca="1" si="0"/>
        <v>5</v>
      </c>
      <c r="Z12" s="1">
        <f t="shared" ca="1" si="0"/>
        <v>11</v>
      </c>
      <c r="AA12" s="1">
        <f t="shared" ca="1" si="0"/>
        <v>24</v>
      </c>
      <c r="AB12" s="1">
        <f t="shared" ca="1" si="0"/>
        <v>7</v>
      </c>
      <c r="AC12" s="1">
        <f t="shared" ca="1" si="0"/>
        <v>9</v>
      </c>
      <c r="AD12" s="1">
        <f t="shared" ca="1" si="0"/>
        <v>23</v>
      </c>
      <c r="AE12" s="1">
        <f t="shared" ca="1" si="0"/>
        <v>14</v>
      </c>
      <c r="AF12" s="1">
        <f t="shared" ca="1" si="0"/>
        <v>11</v>
      </c>
      <c r="AG12" s="1">
        <f t="shared" ca="1" si="0"/>
        <v>25</v>
      </c>
      <c r="AH12" s="1">
        <f t="shared" ca="1" si="0"/>
        <v>7</v>
      </c>
      <c r="AI12" s="1">
        <f t="shared" ca="1" si="0"/>
        <v>11</v>
      </c>
      <c r="AJ12" s="1">
        <f t="shared" ca="1" si="0"/>
        <v>16</v>
      </c>
      <c r="AK12" s="1">
        <f t="shared" ca="1" si="0"/>
        <v>18</v>
      </c>
      <c r="AL12" s="1">
        <f t="shared" ca="1" si="0"/>
        <v>12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</v>
      </c>
      <c r="T13" s="1">
        <f t="shared" ca="1" si="0"/>
        <v>18</v>
      </c>
      <c r="U13" s="1">
        <f t="shared" ca="1" si="0"/>
        <v>20</v>
      </c>
      <c r="V13" s="1">
        <f t="shared" ca="1" si="0"/>
        <v>18</v>
      </c>
      <c r="W13" s="1">
        <f t="shared" ca="1" si="0"/>
        <v>1</v>
      </c>
      <c r="X13" s="1">
        <f t="shared" ca="1" si="0"/>
        <v>19</v>
      </c>
      <c r="Y13" s="1">
        <f t="shared" ca="1" si="0"/>
        <v>4</v>
      </c>
      <c r="Z13" s="1">
        <f t="shared" ca="1" si="0"/>
        <v>1</v>
      </c>
      <c r="AA13" s="1">
        <f t="shared" ca="1" si="0"/>
        <v>20</v>
      </c>
      <c r="AB13" s="1">
        <f t="shared" ca="1" si="0"/>
        <v>3</v>
      </c>
      <c r="AC13" s="1">
        <f t="shared" ca="1" si="0"/>
        <v>12</v>
      </c>
      <c r="AD13" s="1">
        <f t="shared" ca="1" si="0"/>
        <v>21</v>
      </c>
      <c r="AE13" s="1">
        <f t="shared" ca="1" si="0"/>
        <v>4</v>
      </c>
      <c r="AF13" s="1">
        <f t="shared" ca="1" si="0"/>
        <v>14</v>
      </c>
      <c r="AG13" s="1">
        <f t="shared" ca="1" si="0"/>
        <v>22</v>
      </c>
      <c r="AH13" s="1">
        <f t="shared" ca="1" si="0"/>
        <v>24</v>
      </c>
      <c r="AI13" s="1">
        <f t="shared" ca="1" si="0"/>
        <v>12</v>
      </c>
      <c r="AJ13" s="1">
        <f t="shared" ca="1" si="0"/>
        <v>15</v>
      </c>
      <c r="AK13" s="1">
        <f t="shared" ca="1" si="0"/>
        <v>10</v>
      </c>
      <c r="AL13" s="1">
        <f t="shared" ca="1" si="0"/>
        <v>23</v>
      </c>
      <c r="AN13" t="s">
        <v>15</v>
      </c>
      <c r="AO13" s="1">
        <v>13</v>
      </c>
      <c r="AS13" s="7">
        <f>AS9+6</f>
        <v>414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6</v>
      </c>
      <c r="T14" s="1">
        <f t="shared" ca="1" si="0"/>
        <v>25</v>
      </c>
      <c r="U14" s="1">
        <f t="shared" ca="1" si="0"/>
        <v>7</v>
      </c>
      <c r="V14" s="1">
        <f t="shared" ca="1" si="0"/>
        <v>7</v>
      </c>
      <c r="W14" s="1">
        <f t="shared" ca="1" si="0"/>
        <v>9</v>
      </c>
      <c r="X14" s="1">
        <f t="shared" ca="1" si="0"/>
        <v>17</v>
      </c>
      <c r="Y14" s="1">
        <f t="shared" ca="1" si="0"/>
        <v>23</v>
      </c>
      <c r="Z14" s="1">
        <f t="shared" ca="1" si="0"/>
        <v>4</v>
      </c>
      <c r="AA14" s="1">
        <f t="shared" ca="1" si="0"/>
        <v>16</v>
      </c>
      <c r="AB14" s="1">
        <f t="shared" ca="1" si="0"/>
        <v>26</v>
      </c>
      <c r="AC14" s="1">
        <f t="shared" ca="1" si="0"/>
        <v>20</v>
      </c>
      <c r="AD14" s="1">
        <f t="shared" ca="1" si="0"/>
        <v>24</v>
      </c>
      <c r="AE14" s="1">
        <f t="shared" ca="1" si="0"/>
        <v>22</v>
      </c>
      <c r="AF14" s="1">
        <f t="shared" ca="1" si="0"/>
        <v>1</v>
      </c>
      <c r="AG14" s="1">
        <f t="shared" ca="1" si="0"/>
        <v>25</v>
      </c>
      <c r="AH14" s="1">
        <f t="shared" ca="1" si="0"/>
        <v>6</v>
      </c>
      <c r="AI14" s="1">
        <f t="shared" ca="1" si="0"/>
        <v>16</v>
      </c>
      <c r="AJ14" s="1">
        <f t="shared" ca="1" si="0"/>
        <v>10</v>
      </c>
      <c r="AK14" s="1">
        <f t="shared" ca="1" si="0"/>
        <v>21</v>
      </c>
      <c r="AL14" s="1">
        <f t="shared" ca="1" si="0"/>
        <v>24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14</v>
      </c>
      <c r="T15" s="1">
        <f t="shared" ca="1" si="0"/>
        <v>2</v>
      </c>
      <c r="U15" s="1">
        <f t="shared" ca="1" si="0"/>
        <v>19</v>
      </c>
      <c r="V15" s="1">
        <f t="shared" ca="1" si="0"/>
        <v>11</v>
      </c>
      <c r="W15" s="1">
        <f t="shared" ca="1" si="0"/>
        <v>3</v>
      </c>
      <c r="X15" s="1">
        <f t="shared" ca="1" si="0"/>
        <v>21</v>
      </c>
      <c r="Y15" s="1">
        <f t="shared" ca="1" si="0"/>
        <v>2</v>
      </c>
      <c r="Z15" s="1">
        <f t="shared" ca="1" si="0"/>
        <v>6</v>
      </c>
      <c r="AA15" s="1">
        <f t="shared" ca="1" si="0"/>
        <v>21</v>
      </c>
      <c r="AB15" s="1">
        <f t="shared" ref="AB15:AL16" ca="1" si="2">MAX(ROUND(RAND()*26,0),1)</f>
        <v>5</v>
      </c>
      <c r="AC15" s="1">
        <f t="shared" ca="1" si="2"/>
        <v>5</v>
      </c>
      <c r="AD15" s="1">
        <f t="shared" ca="1" si="2"/>
        <v>20</v>
      </c>
      <c r="AE15" s="1">
        <f t="shared" ca="1" si="2"/>
        <v>5</v>
      </c>
      <c r="AF15" s="1">
        <f t="shared" ca="1" si="2"/>
        <v>17</v>
      </c>
      <c r="AG15" s="1">
        <f t="shared" ca="1" si="2"/>
        <v>22</v>
      </c>
      <c r="AH15" s="1">
        <f t="shared" ca="1" si="2"/>
        <v>18</v>
      </c>
      <c r="AI15" s="1">
        <f t="shared" ca="1" si="2"/>
        <v>20</v>
      </c>
      <c r="AJ15" s="1">
        <f t="shared" ca="1" si="2"/>
        <v>12</v>
      </c>
      <c r="AK15" s="1">
        <f t="shared" ca="1" si="2"/>
        <v>11</v>
      </c>
      <c r="AL15" s="1">
        <f t="shared" ca="1" si="2"/>
        <v>14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7</v>
      </c>
      <c r="T16" s="1">
        <f t="shared" ca="1" si="1"/>
        <v>18</v>
      </c>
      <c r="U16" s="1">
        <f t="shared" ca="1" si="1"/>
        <v>11</v>
      </c>
      <c r="V16" s="1">
        <f t="shared" ca="1" si="1"/>
        <v>22</v>
      </c>
      <c r="W16" s="1">
        <f t="shared" ca="1" si="1"/>
        <v>10</v>
      </c>
      <c r="X16" s="1">
        <f t="shared" ca="1" si="1"/>
        <v>2</v>
      </c>
      <c r="Y16" s="1">
        <f t="shared" ca="1" si="1"/>
        <v>6</v>
      </c>
      <c r="Z16" s="1">
        <f t="shared" ca="1" si="1"/>
        <v>21</v>
      </c>
      <c r="AA16" s="1">
        <f t="shared" ca="1" si="1"/>
        <v>24</v>
      </c>
      <c r="AB16" s="1">
        <f t="shared" ca="1" si="1"/>
        <v>25</v>
      </c>
      <c r="AC16" s="1">
        <f t="shared" ca="1" si="1"/>
        <v>19</v>
      </c>
      <c r="AD16" s="1">
        <f t="shared" ca="1" si="1"/>
        <v>22</v>
      </c>
      <c r="AE16" s="1">
        <f t="shared" ca="1" si="1"/>
        <v>12</v>
      </c>
      <c r="AF16" s="1">
        <f t="shared" ca="1" si="1"/>
        <v>13</v>
      </c>
      <c r="AG16" s="1">
        <f t="shared" ca="1" si="1"/>
        <v>15</v>
      </c>
      <c r="AH16" s="1">
        <f t="shared" ca="1" si="1"/>
        <v>25</v>
      </c>
      <c r="AI16" s="1">
        <f t="shared" ca="1" si="2"/>
        <v>1</v>
      </c>
      <c r="AJ16" s="1">
        <f t="shared" ca="1" si="2"/>
        <v>17</v>
      </c>
      <c r="AK16" s="1">
        <f t="shared" ca="1" si="2"/>
        <v>15</v>
      </c>
      <c r="AL16" s="1">
        <f t="shared" ca="1" si="2"/>
        <v>18</v>
      </c>
      <c r="AN16" t="s">
        <v>18</v>
      </c>
      <c r="AO16" s="1">
        <v>16</v>
      </c>
      <c r="AR16" t="s">
        <v>126</v>
      </c>
      <c r="AT16">
        <f>SUM(AS18:AS26)</f>
        <v>326</v>
      </c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127</v>
      </c>
      <c r="AS19">
        <v>102</v>
      </c>
    </row>
    <row r="20" spans="1:47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25">
      <c r="O25" s="1" t="s">
        <v>31</v>
      </c>
      <c r="AN25" t="s">
        <v>26</v>
      </c>
      <c r="AO25" s="1">
        <v>25</v>
      </c>
      <c r="AR25" t="s">
        <v>128</v>
      </c>
      <c r="AS25">
        <v>14</v>
      </c>
      <c r="AU25">
        <f>AU24-AU21</f>
        <v>407.99999999999909</v>
      </c>
    </row>
    <row r="26" spans="1:47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129</v>
      </c>
      <c r="AS26">
        <v>55</v>
      </c>
    </row>
    <row r="28" spans="1:47" ht="15.75" thickBot="1" x14ac:dyDescent="0.3"/>
    <row r="29" spans="1:47" x14ac:dyDescent="0.25">
      <c r="C29" s="45">
        <v>3</v>
      </c>
      <c r="D29" s="46"/>
      <c r="E29" s="46">
        <v>1</v>
      </c>
      <c r="F29" s="48"/>
      <c r="G29" s="49">
        <v>4</v>
      </c>
      <c r="H29" s="50"/>
      <c r="I29" s="46">
        <v>2</v>
      </c>
      <c r="J29" s="48"/>
    </row>
    <row r="30" spans="1:47" x14ac:dyDescent="0.25">
      <c r="C30" s="39"/>
      <c r="D30" s="40"/>
      <c r="E30" s="40"/>
      <c r="F30" s="43"/>
      <c r="G30" s="51"/>
      <c r="H30" s="52"/>
      <c r="I30" s="40"/>
      <c r="J30" s="43"/>
    </row>
    <row r="31" spans="1:47" x14ac:dyDescent="0.25">
      <c r="C31" s="57">
        <v>4</v>
      </c>
      <c r="D31" s="58"/>
      <c r="E31" s="58">
        <v>2</v>
      </c>
      <c r="F31" s="60"/>
      <c r="G31" s="39">
        <v>3</v>
      </c>
      <c r="H31" s="40"/>
      <c r="I31" s="58">
        <v>1</v>
      </c>
      <c r="J31" s="60"/>
    </row>
    <row r="32" spans="1:47" ht="15.75" thickBot="1" x14ac:dyDescent="0.3">
      <c r="C32" s="61"/>
      <c r="D32" s="62"/>
      <c r="E32" s="62"/>
      <c r="F32" s="63"/>
      <c r="G32" s="41"/>
      <c r="H32" s="42"/>
      <c r="I32" s="62"/>
      <c r="J32" s="63"/>
    </row>
    <row r="33" spans="3:10" x14ac:dyDescent="0.25">
      <c r="C33" s="55">
        <v>1</v>
      </c>
      <c r="D33" s="56"/>
      <c r="E33" s="46">
        <v>3</v>
      </c>
      <c r="F33" s="48"/>
      <c r="G33" s="55">
        <v>2</v>
      </c>
      <c r="H33" s="56"/>
      <c r="I33" s="56">
        <v>4</v>
      </c>
      <c r="J33" s="59"/>
    </row>
    <row r="34" spans="3:10" x14ac:dyDescent="0.25">
      <c r="C34" s="57"/>
      <c r="D34" s="58"/>
      <c r="E34" s="40"/>
      <c r="F34" s="43"/>
      <c r="G34" s="57"/>
      <c r="H34" s="58"/>
      <c r="I34" s="58"/>
      <c r="J34" s="60"/>
    </row>
    <row r="35" spans="3:10" x14ac:dyDescent="0.25">
      <c r="C35" s="39">
        <v>2</v>
      </c>
      <c r="D35" s="40"/>
      <c r="E35" s="40">
        <v>4</v>
      </c>
      <c r="F35" s="43"/>
      <c r="G35" s="39">
        <v>1</v>
      </c>
      <c r="H35" s="40"/>
      <c r="I35" s="40">
        <v>3</v>
      </c>
      <c r="J35" s="43"/>
    </row>
    <row r="36" spans="3:10" ht="15.75" thickBot="1" x14ac:dyDescent="0.3">
      <c r="C36" s="41"/>
      <c r="D36" s="42"/>
      <c r="E36" s="42"/>
      <c r="F36" s="44"/>
      <c r="G36" s="41"/>
      <c r="H36" s="42"/>
      <c r="I36" s="42"/>
      <c r="J36" s="44"/>
    </row>
    <row r="39" spans="3:10" x14ac:dyDescent="0.25">
      <c r="F39" t="s">
        <v>57</v>
      </c>
    </row>
  </sheetData>
  <mergeCells count="16">
    <mergeCell ref="C29:D30"/>
    <mergeCell ref="E29:F30"/>
    <mergeCell ref="G29:H30"/>
    <mergeCell ref="I29:J30"/>
    <mergeCell ref="C31:D32"/>
    <mergeCell ref="E31:F32"/>
    <mergeCell ref="G31:H32"/>
    <mergeCell ref="I31:J32"/>
    <mergeCell ref="C33:D34"/>
    <mergeCell ref="E33:F34"/>
    <mergeCell ref="G33:H34"/>
    <mergeCell ref="I33:J34"/>
    <mergeCell ref="C35:D36"/>
    <mergeCell ref="E35:F36"/>
    <mergeCell ref="G35:H36"/>
    <mergeCell ref="I35:J36"/>
  </mergeCell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workbookViewId="0">
      <selection activeCell="Q19" sqref="Q19"/>
    </sheetView>
  </sheetViews>
  <sheetFormatPr defaultRowHeight="15" x14ac:dyDescent="0.25"/>
  <cols>
    <col min="1" max="1" width="3.85546875" customWidth="1"/>
    <col min="2" max="17" width="3.28515625" customWidth="1"/>
    <col min="18" max="18" width="3.85546875" customWidth="1"/>
  </cols>
  <sheetData>
    <row r="2" spans="2:17" x14ac:dyDescent="0.25">
      <c r="D2" s="47" t="s">
        <v>54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7" x14ac:dyDescent="0.25"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43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49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52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42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40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35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51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48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28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43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32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51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30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41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47" t="s">
        <v>55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1"/>
    </row>
    <row r="21" spans="2:17" ht="15.75" thickBot="1" x14ac:dyDescent="0.3">
      <c r="B21" s="1"/>
      <c r="C21" s="1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1"/>
    </row>
    <row r="22" spans="2:17" x14ac:dyDescent="0.25">
      <c r="B22" s="45"/>
      <c r="C22" s="46"/>
      <c r="D22" s="46"/>
      <c r="E22" s="48"/>
      <c r="F22" s="49"/>
      <c r="G22" s="50"/>
      <c r="H22" s="46"/>
      <c r="I22" s="48"/>
    </row>
    <row r="23" spans="2:17" ht="15" customHeight="1" x14ac:dyDescent="0.25">
      <c r="B23" s="39"/>
      <c r="C23" s="40"/>
      <c r="D23" s="40"/>
      <c r="E23" s="43"/>
      <c r="F23" s="51"/>
      <c r="G23" s="52"/>
      <c r="H23" s="40"/>
      <c r="I23" s="43"/>
      <c r="K23" s="53" t="s">
        <v>56</v>
      </c>
      <c r="L23" s="53"/>
      <c r="M23" s="53"/>
      <c r="N23" s="53"/>
      <c r="O23" s="53"/>
      <c r="P23" s="53"/>
      <c r="Q23" s="53"/>
    </row>
    <row r="24" spans="2:17" x14ac:dyDescent="0.25">
      <c r="B24" s="39">
        <v>4</v>
      </c>
      <c r="C24" s="40"/>
      <c r="D24" s="40">
        <v>2</v>
      </c>
      <c r="E24" s="43"/>
      <c r="F24" s="39"/>
      <c r="G24" s="40"/>
      <c r="H24" s="40">
        <v>1</v>
      </c>
      <c r="I24" s="43"/>
      <c r="K24" s="53"/>
      <c r="L24" s="53"/>
      <c r="M24" s="53"/>
      <c r="N24" s="53"/>
      <c r="O24" s="53"/>
      <c r="P24" s="53"/>
      <c r="Q24" s="53"/>
    </row>
    <row r="25" spans="2:17" ht="15.75" thickBot="1" x14ac:dyDescent="0.3">
      <c r="B25" s="41"/>
      <c r="C25" s="42"/>
      <c r="D25" s="42"/>
      <c r="E25" s="44"/>
      <c r="F25" s="41"/>
      <c r="G25" s="42"/>
      <c r="H25" s="42"/>
      <c r="I25" s="44"/>
      <c r="K25" s="53"/>
      <c r="L25" s="53"/>
      <c r="M25" s="53"/>
      <c r="N25" s="53"/>
      <c r="O25" s="53"/>
      <c r="P25" s="53"/>
      <c r="Q25" s="53"/>
    </row>
    <row r="26" spans="2:17" x14ac:dyDescent="0.25">
      <c r="B26" s="45">
        <v>1</v>
      </c>
      <c r="C26" s="46"/>
      <c r="D26" s="46"/>
      <c r="E26" s="48"/>
      <c r="F26" s="45">
        <v>2</v>
      </c>
      <c r="G26" s="46"/>
      <c r="H26" s="46">
        <v>4</v>
      </c>
      <c r="I26" s="48"/>
      <c r="K26" s="53"/>
      <c r="L26" s="53"/>
      <c r="M26" s="53"/>
      <c r="N26" s="53"/>
      <c r="O26" s="53"/>
      <c r="P26" s="53"/>
      <c r="Q26" s="53"/>
    </row>
    <row r="27" spans="2:17" x14ac:dyDescent="0.25">
      <c r="B27" s="39"/>
      <c r="C27" s="40"/>
      <c r="D27" s="40"/>
      <c r="E27" s="43"/>
      <c r="F27" s="39"/>
      <c r="G27" s="40"/>
      <c r="H27" s="40"/>
      <c r="I27" s="43"/>
      <c r="K27" s="53"/>
      <c r="L27" s="53"/>
      <c r="M27" s="53"/>
      <c r="N27" s="53"/>
      <c r="O27" s="53"/>
      <c r="P27" s="53"/>
      <c r="Q27" s="53"/>
    </row>
    <row r="28" spans="2:17" x14ac:dyDescent="0.25">
      <c r="B28" s="39"/>
      <c r="C28" s="40"/>
      <c r="D28" s="40"/>
      <c r="E28" s="43"/>
      <c r="F28" s="39"/>
      <c r="G28" s="40"/>
      <c r="H28" s="40"/>
      <c r="I28" s="43"/>
      <c r="K28" s="53"/>
      <c r="L28" s="53"/>
      <c r="M28" s="53"/>
      <c r="N28" s="53"/>
      <c r="O28" s="53"/>
      <c r="P28" s="53"/>
      <c r="Q28" s="53"/>
    </row>
    <row r="29" spans="2:17" ht="15.75" thickBot="1" x14ac:dyDescent="0.3">
      <c r="B29" s="41"/>
      <c r="C29" s="42"/>
      <c r="D29" s="42"/>
      <c r="E29" s="44"/>
      <c r="F29" s="41"/>
      <c r="G29" s="42"/>
      <c r="H29" s="42"/>
      <c r="I29" s="44"/>
    </row>
  </sheetData>
  <mergeCells count="19"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  <mergeCell ref="B28:C29"/>
    <mergeCell ref="D28:E29"/>
    <mergeCell ref="B22:C23"/>
    <mergeCell ref="B24:C25"/>
    <mergeCell ref="B26:C27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V39" sqref="V39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47" t="s">
        <v>54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7" x14ac:dyDescent="0.25"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47" t="s">
        <v>55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1"/>
    </row>
    <row r="21" spans="2:17" ht="15.75" thickBot="1" x14ac:dyDescent="0.3">
      <c r="B21" s="1"/>
      <c r="C21" s="1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1"/>
    </row>
    <row r="22" spans="2:17" ht="15" customHeight="1" x14ac:dyDescent="0.25">
      <c r="B22" s="45">
        <v>3</v>
      </c>
      <c r="C22" s="46"/>
      <c r="D22" s="46">
        <v>1</v>
      </c>
      <c r="E22" s="48"/>
      <c r="F22" s="49">
        <v>4</v>
      </c>
      <c r="G22" s="50"/>
      <c r="H22" s="46">
        <v>2</v>
      </c>
      <c r="I22" s="48"/>
    </row>
    <row r="23" spans="2:17" ht="15" customHeight="1" x14ac:dyDescent="0.25">
      <c r="B23" s="39"/>
      <c r="C23" s="40"/>
      <c r="D23" s="40"/>
      <c r="E23" s="43"/>
      <c r="F23" s="51"/>
      <c r="G23" s="52"/>
      <c r="H23" s="40"/>
      <c r="I23" s="43"/>
      <c r="K23" s="53" t="s">
        <v>56</v>
      </c>
      <c r="L23" s="53"/>
      <c r="M23" s="53"/>
      <c r="N23" s="53"/>
      <c r="O23" s="53"/>
      <c r="P23" s="53"/>
      <c r="Q23" s="53"/>
    </row>
    <row r="24" spans="2:17" ht="15" customHeight="1" x14ac:dyDescent="0.25">
      <c r="B24" s="57">
        <v>4</v>
      </c>
      <c r="C24" s="58"/>
      <c r="D24" s="58">
        <v>2</v>
      </c>
      <c r="E24" s="60"/>
      <c r="F24" s="39">
        <v>3</v>
      </c>
      <c r="G24" s="40"/>
      <c r="H24" s="58">
        <v>1</v>
      </c>
      <c r="I24" s="60"/>
      <c r="K24" s="53"/>
      <c r="L24" s="53"/>
      <c r="M24" s="53"/>
      <c r="N24" s="53"/>
      <c r="O24" s="53"/>
      <c r="P24" s="53"/>
      <c r="Q24" s="53"/>
    </row>
    <row r="25" spans="2:17" ht="15.75" customHeight="1" thickBot="1" x14ac:dyDescent="0.3">
      <c r="B25" s="61"/>
      <c r="C25" s="62"/>
      <c r="D25" s="62"/>
      <c r="E25" s="63"/>
      <c r="F25" s="41"/>
      <c r="G25" s="42"/>
      <c r="H25" s="62"/>
      <c r="I25" s="63"/>
      <c r="K25" s="53"/>
      <c r="L25" s="53"/>
      <c r="M25" s="53"/>
      <c r="N25" s="53"/>
      <c r="O25" s="53"/>
      <c r="P25" s="53"/>
      <c r="Q25" s="53"/>
    </row>
    <row r="26" spans="2:17" ht="15" customHeight="1" x14ac:dyDescent="0.25">
      <c r="B26" s="55">
        <v>1</v>
      </c>
      <c r="C26" s="56"/>
      <c r="D26" s="46">
        <v>3</v>
      </c>
      <c r="E26" s="48"/>
      <c r="F26" s="55">
        <v>2</v>
      </c>
      <c r="G26" s="56"/>
      <c r="H26" s="56">
        <v>4</v>
      </c>
      <c r="I26" s="59"/>
      <c r="K26" s="53"/>
      <c r="L26" s="53"/>
      <c r="M26" s="53"/>
      <c r="N26" s="53"/>
      <c r="O26" s="53"/>
      <c r="P26" s="53"/>
      <c r="Q26" s="53"/>
    </row>
    <row r="27" spans="2:17" ht="15" customHeight="1" x14ac:dyDescent="0.25">
      <c r="B27" s="57"/>
      <c r="C27" s="58"/>
      <c r="D27" s="40"/>
      <c r="E27" s="43"/>
      <c r="F27" s="57"/>
      <c r="G27" s="58"/>
      <c r="H27" s="58"/>
      <c r="I27" s="60"/>
      <c r="K27" s="53"/>
      <c r="L27" s="53"/>
      <c r="M27" s="53"/>
      <c r="N27" s="53"/>
      <c r="O27" s="53"/>
      <c r="P27" s="53"/>
      <c r="Q27" s="53"/>
    </row>
    <row r="28" spans="2:17" ht="15" customHeight="1" x14ac:dyDescent="0.25">
      <c r="B28" s="39">
        <v>2</v>
      </c>
      <c r="C28" s="40"/>
      <c r="D28" s="40">
        <v>4</v>
      </c>
      <c r="E28" s="43"/>
      <c r="F28" s="39">
        <v>1</v>
      </c>
      <c r="G28" s="40"/>
      <c r="H28" s="40">
        <v>3</v>
      </c>
      <c r="I28" s="43"/>
      <c r="K28" s="53"/>
      <c r="L28" s="53"/>
      <c r="M28" s="53"/>
      <c r="N28" s="53"/>
      <c r="O28" s="53"/>
      <c r="P28" s="53"/>
      <c r="Q28" s="53"/>
    </row>
    <row r="29" spans="2:17" ht="15.75" customHeight="1" thickBot="1" x14ac:dyDescent="0.3">
      <c r="B29" s="41"/>
      <c r="C29" s="42"/>
      <c r="D29" s="42"/>
      <c r="E29" s="44"/>
      <c r="F29" s="41"/>
      <c r="G29" s="42"/>
      <c r="H29" s="42"/>
      <c r="I29" s="44"/>
      <c r="K29" s="64" t="s">
        <v>58</v>
      </c>
      <c r="L29" s="64"/>
      <c r="M29" s="64"/>
      <c r="N29" s="64"/>
      <c r="O29" s="64"/>
      <c r="P29" s="64"/>
    </row>
    <row r="30" spans="2:17" x14ac:dyDescent="0.25">
      <c r="K30" s="64"/>
      <c r="L30" s="64"/>
      <c r="M30" s="64"/>
      <c r="N30" s="64"/>
      <c r="O30" s="64"/>
      <c r="P30" s="64"/>
    </row>
    <row r="31" spans="2:17" x14ac:dyDescent="0.25">
      <c r="K31" s="64"/>
      <c r="L31" s="64"/>
      <c r="M31" s="64"/>
      <c r="N31" s="64"/>
      <c r="O31" s="64"/>
      <c r="P31" s="64"/>
    </row>
  </sheetData>
  <mergeCells count="20"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  <headerFooter>
    <oddHeader>&amp;R&amp;"Aptos"&amp;12&amp;K000000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 Tracker</vt:lpstr>
      <vt:lpstr>Sheet1</vt:lpstr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2025-11-16T03:03:06Z</cp:lastPrinted>
  <dcterms:created xsi:type="dcterms:W3CDTF">2015-06-05T18:17:20Z</dcterms:created>
  <dcterms:modified xsi:type="dcterms:W3CDTF">2026-03-25T23:42:34Z</dcterms:modified>
</cp:coreProperties>
</file>