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EscapeBackpack\EscapeBackpack\Hiking_Trip\"/>
    </mc:Choice>
  </mc:AlternateContent>
  <xr:revisionPtr revIDLastSave="0" documentId="13_ncr:1_{EF09F4F6-3189-484A-ABCF-D68987A98736}" xr6:coauthVersionLast="47" xr6:coauthVersionMax="47" xr10:uidLastSave="{00000000-0000-0000-0000-000000000000}"/>
  <bookViews>
    <workbookView xWindow="-120" yWindow="-120" windowWidth="29040" windowHeight="15720" xr2:uid="{00000000-000D-0000-FFFF-FFFF00000000}"/>
  </bookViews>
  <sheets>
    <sheet name="Adventure Tracker" sheetId="7" r:id="rId1"/>
    <sheet name="Sheet1" sheetId="6" r:id="rId2"/>
    <sheet name="Info" sheetId="2" r:id="rId3"/>
    <sheet name="Draft" sheetId="1" r:id="rId4"/>
    <sheet name="Word_Search" sheetId="3" r:id="rId5"/>
    <sheet name="Word_Search_solution" sheetId="4" r:id="rId6"/>
    <sheet name="Riddle" sheetId="5" r:id="rId7"/>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2" l="1"/>
  <c r="D19" i="2"/>
  <c r="AS13" i="1"/>
  <c r="AU25" i="1"/>
  <c r="AU24" i="1"/>
  <c r="AS9" i="1"/>
  <c r="AT16" i="1"/>
  <c r="C17" i="2"/>
  <c r="E16" i="2"/>
  <c r="E14" i="2"/>
  <c r="E13" i="2"/>
  <c r="L14" i="2"/>
  <c r="M14" i="2" s="1"/>
  <c r="L13" i="2"/>
  <c r="M13" i="2" s="1"/>
  <c r="C16" i="2"/>
  <c r="G14" i="2"/>
  <c r="G13" i="2"/>
  <c r="AT7" i="1"/>
  <c r="AT4" i="1"/>
  <c r="AU5" i="1" s="1"/>
  <c r="AS7" i="1"/>
  <c r="AQ2" i="1"/>
  <c r="S3" i="1"/>
  <c r="T3" i="1"/>
  <c r="U3" i="1"/>
  <c r="V3" i="1"/>
  <c r="W3" i="1"/>
  <c r="X3" i="1"/>
  <c r="Y3" i="1"/>
  <c r="Z3" i="1"/>
  <c r="AA3" i="1"/>
  <c r="AB3" i="1"/>
  <c r="AC3" i="1"/>
  <c r="AD3" i="1"/>
  <c r="AE3" i="1"/>
  <c r="AF3" i="1"/>
  <c r="AG3" i="1"/>
  <c r="AH3" i="1"/>
  <c r="AI3" i="1"/>
  <c r="AJ3" i="1"/>
  <c r="AK3" i="1"/>
  <c r="AL3" i="1"/>
  <c r="S4" i="1"/>
  <c r="T4" i="1"/>
  <c r="U4" i="1"/>
  <c r="V4" i="1"/>
  <c r="W4" i="1"/>
  <c r="X4" i="1"/>
  <c r="Y4" i="1"/>
  <c r="Z4" i="1"/>
  <c r="AA4" i="1"/>
  <c r="AB4" i="1"/>
  <c r="AC4" i="1"/>
  <c r="AD4" i="1"/>
  <c r="AE4" i="1"/>
  <c r="AF4" i="1"/>
  <c r="AG4" i="1"/>
  <c r="AH4" i="1"/>
  <c r="AI4" i="1"/>
  <c r="AJ4" i="1"/>
  <c r="AK4" i="1"/>
  <c r="AL4" i="1"/>
  <c r="S5" i="1"/>
  <c r="T5" i="1"/>
  <c r="U5" i="1"/>
  <c r="V5" i="1"/>
  <c r="W5" i="1"/>
  <c r="X5" i="1"/>
  <c r="Y5" i="1"/>
  <c r="Z5" i="1"/>
  <c r="AA5" i="1"/>
  <c r="AB5" i="1"/>
  <c r="AC5" i="1"/>
  <c r="AD5" i="1"/>
  <c r="AE5" i="1"/>
  <c r="AF5" i="1"/>
  <c r="AG5" i="1"/>
  <c r="AH5" i="1"/>
  <c r="AI5" i="1"/>
  <c r="AJ5" i="1"/>
  <c r="AK5" i="1"/>
  <c r="AL5" i="1"/>
  <c r="S6" i="1"/>
  <c r="T6" i="1"/>
  <c r="U6" i="1"/>
  <c r="V6" i="1"/>
  <c r="W6" i="1"/>
  <c r="X6" i="1"/>
  <c r="Y6" i="1"/>
  <c r="Z6" i="1"/>
  <c r="AA6" i="1"/>
  <c r="AB6" i="1"/>
  <c r="AC6" i="1"/>
  <c r="AD6" i="1"/>
  <c r="AE6" i="1"/>
  <c r="AF6" i="1"/>
  <c r="AG6" i="1"/>
  <c r="AH6" i="1"/>
  <c r="AI6" i="1"/>
  <c r="AJ6" i="1"/>
  <c r="AK6" i="1"/>
  <c r="AL6" i="1"/>
  <c r="S7" i="1"/>
  <c r="T7" i="1"/>
  <c r="U7" i="1"/>
  <c r="V7" i="1"/>
  <c r="W7" i="1"/>
  <c r="X7" i="1"/>
  <c r="Y7" i="1"/>
  <c r="Z7" i="1"/>
  <c r="AA7" i="1"/>
  <c r="AB7" i="1"/>
  <c r="AC7" i="1"/>
  <c r="AD7" i="1"/>
  <c r="AE7" i="1"/>
  <c r="AF7" i="1"/>
  <c r="AG7" i="1"/>
  <c r="AH7" i="1"/>
  <c r="AI7" i="1"/>
  <c r="AJ7" i="1"/>
  <c r="AK7" i="1"/>
  <c r="AL7" i="1"/>
  <c r="S8" i="1"/>
  <c r="T8" i="1"/>
  <c r="U8" i="1"/>
  <c r="V8" i="1"/>
  <c r="W8" i="1"/>
  <c r="X8" i="1"/>
  <c r="Y8" i="1"/>
  <c r="Z8" i="1"/>
  <c r="AA8" i="1"/>
  <c r="AB8" i="1"/>
  <c r="AC8" i="1"/>
  <c r="AD8" i="1"/>
  <c r="AE8" i="1"/>
  <c r="AF8" i="1"/>
  <c r="AG8" i="1"/>
  <c r="AH8" i="1"/>
  <c r="AI8" i="1"/>
  <c r="AJ8" i="1"/>
  <c r="AK8" i="1"/>
  <c r="AL8" i="1"/>
  <c r="S9" i="1"/>
  <c r="T9" i="1"/>
  <c r="U9" i="1"/>
  <c r="V9" i="1"/>
  <c r="W9" i="1"/>
  <c r="X9" i="1"/>
  <c r="Y9" i="1"/>
  <c r="Z9" i="1"/>
  <c r="AA9" i="1"/>
  <c r="AB9" i="1"/>
  <c r="AC9" i="1"/>
  <c r="AD9" i="1"/>
  <c r="AE9" i="1"/>
  <c r="AF9" i="1"/>
  <c r="AG9" i="1"/>
  <c r="AH9" i="1"/>
  <c r="AI9" i="1"/>
  <c r="AJ9" i="1"/>
  <c r="AK9" i="1"/>
  <c r="AL9" i="1"/>
  <c r="S10" i="1"/>
  <c r="T10" i="1"/>
  <c r="U10" i="1"/>
  <c r="V10" i="1"/>
  <c r="W10" i="1"/>
  <c r="X10" i="1"/>
  <c r="Y10" i="1"/>
  <c r="Z10" i="1"/>
  <c r="AA10" i="1"/>
  <c r="AB10" i="1"/>
  <c r="AC10" i="1"/>
  <c r="AD10" i="1"/>
  <c r="AE10" i="1"/>
  <c r="AF10" i="1"/>
  <c r="AG10" i="1"/>
  <c r="AH10" i="1"/>
  <c r="AI10" i="1"/>
  <c r="AJ10" i="1"/>
  <c r="AK10" i="1"/>
  <c r="AL10" i="1"/>
  <c r="S11" i="1"/>
  <c r="T11" i="1"/>
  <c r="U11" i="1"/>
  <c r="V11" i="1"/>
  <c r="W11" i="1"/>
  <c r="X11" i="1"/>
  <c r="Y11" i="1"/>
  <c r="Z11" i="1"/>
  <c r="AA11" i="1"/>
  <c r="AB11" i="1"/>
  <c r="AC11" i="1"/>
  <c r="AD11" i="1"/>
  <c r="AE11" i="1"/>
  <c r="AF11" i="1"/>
  <c r="AG11" i="1"/>
  <c r="AH11" i="1"/>
  <c r="AI11" i="1"/>
  <c r="AJ11" i="1"/>
  <c r="AK11" i="1"/>
  <c r="AL11" i="1"/>
  <c r="S12" i="1"/>
  <c r="T12" i="1"/>
  <c r="U12" i="1"/>
  <c r="V12" i="1"/>
  <c r="W12" i="1"/>
  <c r="X12" i="1"/>
  <c r="Y12" i="1"/>
  <c r="Z12" i="1"/>
  <c r="AA12" i="1"/>
  <c r="AB12" i="1"/>
  <c r="AC12" i="1"/>
  <c r="AD12" i="1"/>
  <c r="AE12" i="1"/>
  <c r="AF12" i="1"/>
  <c r="AG12" i="1"/>
  <c r="AH12" i="1"/>
  <c r="AI12" i="1"/>
  <c r="AJ12" i="1"/>
  <c r="AK12" i="1"/>
  <c r="AL12" i="1"/>
  <c r="S13" i="1"/>
  <c r="T13" i="1"/>
  <c r="U13" i="1"/>
  <c r="V13" i="1"/>
  <c r="W13" i="1"/>
  <c r="X13" i="1"/>
  <c r="Y13" i="1"/>
  <c r="Z13" i="1"/>
  <c r="AA13" i="1"/>
  <c r="AB13" i="1"/>
  <c r="AC13" i="1"/>
  <c r="AD13" i="1"/>
  <c r="AE13" i="1"/>
  <c r="AF13" i="1"/>
  <c r="AG13" i="1"/>
  <c r="AH13" i="1"/>
  <c r="AI13" i="1"/>
  <c r="AJ13" i="1"/>
  <c r="AK13" i="1"/>
  <c r="AL13" i="1"/>
  <c r="S14" i="1"/>
  <c r="T14" i="1"/>
  <c r="U14" i="1"/>
  <c r="V14" i="1"/>
  <c r="W14" i="1"/>
  <c r="X14" i="1"/>
  <c r="Y14" i="1"/>
  <c r="Z14" i="1"/>
  <c r="AA14" i="1"/>
  <c r="AB14" i="1"/>
  <c r="AC14" i="1"/>
  <c r="AD14" i="1"/>
  <c r="AE14" i="1"/>
  <c r="AF14" i="1"/>
  <c r="AG14" i="1"/>
  <c r="AH14" i="1"/>
  <c r="AI14" i="1"/>
  <c r="AJ14" i="1"/>
  <c r="AK14" i="1"/>
  <c r="AL14" i="1"/>
  <c r="S15" i="1"/>
  <c r="T15" i="1"/>
  <c r="U15" i="1"/>
  <c r="V15" i="1"/>
  <c r="W15" i="1"/>
  <c r="X15" i="1"/>
  <c r="Y15" i="1"/>
  <c r="Z15" i="1"/>
  <c r="AA15" i="1"/>
  <c r="AB15" i="1"/>
  <c r="AC15" i="1"/>
  <c r="AD15" i="1"/>
  <c r="AE15" i="1"/>
  <c r="AF15" i="1"/>
  <c r="AG15" i="1"/>
  <c r="AH15" i="1"/>
  <c r="AI15" i="1"/>
  <c r="AJ15" i="1"/>
  <c r="AK15" i="1"/>
  <c r="AL15" i="1"/>
  <c r="S16" i="1"/>
  <c r="T16" i="1"/>
  <c r="U16" i="1"/>
  <c r="V16" i="1"/>
  <c r="W16" i="1"/>
  <c r="X16" i="1"/>
  <c r="Y16" i="1"/>
  <c r="Z16" i="1"/>
  <c r="AA16" i="1"/>
  <c r="AB16" i="1"/>
  <c r="AC16" i="1"/>
  <c r="AD16" i="1"/>
  <c r="AE16" i="1"/>
  <c r="AF16" i="1"/>
  <c r="AG16" i="1"/>
  <c r="AH16" i="1"/>
  <c r="AI16" i="1"/>
  <c r="AJ16" i="1"/>
  <c r="AK16" i="1"/>
  <c r="AL16" i="1"/>
  <c r="T2" i="1"/>
  <c r="U2" i="1"/>
  <c r="V2" i="1"/>
  <c r="W2" i="1"/>
  <c r="X2" i="1"/>
  <c r="Y2" i="1"/>
  <c r="Z2" i="1"/>
  <c r="AA2" i="1"/>
  <c r="AB2" i="1"/>
  <c r="AC2" i="1"/>
  <c r="AD2" i="1"/>
  <c r="AE2" i="1"/>
  <c r="AF2" i="1"/>
  <c r="AG2" i="1"/>
  <c r="AH2" i="1"/>
  <c r="AI2" i="1"/>
  <c r="AJ2" i="1"/>
  <c r="AK2" i="1"/>
  <c r="AL2" i="1"/>
  <c r="S2"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futureMetadata>
  <valueMetadata count="10">
    <bk>
      <rc t="1" v="0"/>
    </bk>
    <bk>
      <rc t="1" v="1"/>
    </bk>
    <bk>
      <rc t="1" v="2"/>
    </bk>
    <bk>
      <rc t="1" v="3"/>
    </bk>
    <bk>
      <rc t="1" v="4"/>
    </bk>
    <bk>
      <rc t="1" v="5"/>
    </bk>
    <bk>
      <rc t="1" v="6"/>
    </bk>
    <bk>
      <rc t="1" v="7"/>
    </bk>
    <bk>
      <rc t="1" v="8"/>
    </bk>
    <bk>
      <rc t="1" v="9"/>
    </bk>
  </valueMetadata>
</metadata>
</file>

<file path=xl/sharedStrings.xml><?xml version="1.0" encoding="utf-8"?>
<sst xmlns="http://schemas.openxmlformats.org/spreadsheetml/2006/main" count="960" uniqueCount="199">
  <si>
    <t>Line/Column</t>
  </si>
  <si>
    <t>Square cells</t>
  </si>
  <si>
    <t>h</t>
  </si>
  <si>
    <t>w</t>
  </si>
  <si>
    <t>a</t>
  </si>
  <si>
    <t>b</t>
  </si>
  <si>
    <t>c</t>
  </si>
  <si>
    <t>d</t>
  </si>
  <si>
    <t>e</t>
  </si>
  <si>
    <t>f</t>
  </si>
  <si>
    <t>g</t>
  </si>
  <si>
    <t>i</t>
  </si>
  <si>
    <t>j</t>
  </si>
  <si>
    <t>k</t>
  </si>
  <si>
    <t>l</t>
  </si>
  <si>
    <t>m</t>
  </si>
  <si>
    <t>n</t>
  </si>
  <si>
    <t>o</t>
  </si>
  <si>
    <t>p</t>
  </si>
  <si>
    <t>q</t>
  </si>
  <si>
    <t>r</t>
  </si>
  <si>
    <t>s</t>
  </si>
  <si>
    <t>t</t>
  </si>
  <si>
    <t>u</t>
  </si>
  <si>
    <t>v</t>
  </si>
  <si>
    <t>x</t>
  </si>
  <si>
    <t>y</t>
  </si>
  <si>
    <t>z</t>
  </si>
  <si>
    <t>X</t>
  </si>
  <si>
    <t>B</t>
  </si>
  <si>
    <t>R</t>
  </si>
  <si>
    <t>C</t>
  </si>
  <si>
    <t>M</t>
  </si>
  <si>
    <t>T</t>
  </si>
  <si>
    <t>J</t>
  </si>
  <si>
    <t>W</t>
  </si>
  <si>
    <t>D</t>
  </si>
  <si>
    <t>O</t>
  </si>
  <si>
    <t>A</t>
  </si>
  <si>
    <t>H</t>
  </si>
  <si>
    <t>L</t>
  </si>
  <si>
    <t>K</t>
  </si>
  <si>
    <t>U</t>
  </si>
  <si>
    <t>G</t>
  </si>
  <si>
    <t>I</t>
  </si>
  <si>
    <t>Z</t>
  </si>
  <si>
    <t>F</t>
  </si>
  <si>
    <t>V</t>
  </si>
  <si>
    <t>S</t>
  </si>
  <si>
    <t>Q</t>
  </si>
  <si>
    <t>P</t>
  </si>
  <si>
    <t>E</t>
  </si>
  <si>
    <t>Y</t>
  </si>
  <si>
    <t>N</t>
  </si>
  <si>
    <t>Today's Word Search</t>
  </si>
  <si>
    <t>Today's Sudoku</t>
  </si>
  <si>
    <t>Fill the grid with numbers from 1 to 4. Each colum, each row and each of the four 2x2 blocks contains each number exactly once.</t>
  </si>
  <si>
    <t>Answer: 7 3 4</t>
  </si>
  <si>
    <t>7 3 4</t>
  </si>
  <si>
    <t>Name</t>
  </si>
  <si>
    <t>Job</t>
  </si>
  <si>
    <t>Hair Colour</t>
  </si>
  <si>
    <t>Pet</t>
  </si>
  <si>
    <t>Hobby</t>
  </si>
  <si>
    <t>Facial Feature</t>
  </si>
  <si>
    <t>Dick</t>
  </si>
  <si>
    <t>Bart</t>
  </si>
  <si>
    <t>June</t>
  </si>
  <si>
    <t>Rich</t>
  </si>
  <si>
    <t>Mady</t>
  </si>
  <si>
    <t>Doctor</t>
  </si>
  <si>
    <t>Engineer</t>
  </si>
  <si>
    <t>Park Ranger</t>
  </si>
  <si>
    <t>Astronaut</t>
  </si>
  <si>
    <t>Chef</t>
  </si>
  <si>
    <t>Grey</t>
  </si>
  <si>
    <t>Blue</t>
  </si>
  <si>
    <t>Black</t>
  </si>
  <si>
    <t>Blonde</t>
  </si>
  <si>
    <t>Brown</t>
  </si>
  <si>
    <t>Frog</t>
  </si>
  <si>
    <t>Cat</t>
  </si>
  <si>
    <t>Bird</t>
  </si>
  <si>
    <t>Dog</t>
  </si>
  <si>
    <t>Rat</t>
  </si>
  <si>
    <t>Music</t>
  </si>
  <si>
    <t>Hockey</t>
  </si>
  <si>
    <t>Painting</t>
  </si>
  <si>
    <t>Photography</t>
  </si>
  <si>
    <t>Scuba Diving</t>
  </si>
  <si>
    <t>Beard</t>
  </si>
  <si>
    <t>Scar</t>
  </si>
  <si>
    <t>Headband</t>
  </si>
  <si>
    <t>Birth Mark</t>
  </si>
  <si>
    <t>Face Tattoo</t>
  </si>
  <si>
    <t>Bart has a scar.</t>
  </si>
  <si>
    <t>The person with the scar plays hockey.</t>
  </si>
  <si>
    <t>Bart is not the doctor.</t>
  </si>
  <si>
    <t>Rich has blonde hair.</t>
  </si>
  <si>
    <t>The blonde person enjoys photography.</t>
  </si>
  <si>
    <t>June has black hair.</t>
  </si>
  <si>
    <t>The person with black hair owns the bird.</t>
  </si>
  <si>
    <t>Mady has brown hair.</t>
  </si>
  <si>
    <t>Mady is the chef.</t>
  </si>
  <si>
    <t>The chef has a face tattoo.</t>
  </si>
  <si>
    <t>The astronaut owns the dog.</t>
  </si>
  <si>
    <t>Rich is the astronaut.</t>
  </si>
  <si>
    <t>The grey-haired person enjoys music.</t>
  </si>
  <si>
    <t>The person who owns the frog is the doctor.</t>
  </si>
  <si>
    <t>Bart owns the cat.</t>
  </si>
  <si>
    <t>Dick has grey hair.</t>
  </si>
  <si>
    <t>GM=</t>
  </si>
  <si>
    <t>v=</t>
  </si>
  <si>
    <t>Re=</t>
  </si>
  <si>
    <t>h=</t>
  </si>
  <si>
    <t>Printer Margins</t>
  </si>
  <si>
    <t>Top</t>
  </si>
  <si>
    <t>mm</t>
  </si>
  <si>
    <t>Side</t>
  </si>
  <si>
    <t>Bottom</t>
  </si>
  <si>
    <t>https://support.usa.canon.com/kb/s/article/ART163725</t>
  </si>
  <si>
    <t>Page Type</t>
  </si>
  <si>
    <t>Height</t>
  </si>
  <si>
    <t>Width</t>
  </si>
  <si>
    <t>cm</t>
  </si>
  <si>
    <t>Number</t>
  </si>
  <si>
    <t>KNoWN PHYSiCs</t>
  </si>
  <si>
    <t>No</t>
  </si>
  <si>
    <t>Si</t>
  </si>
  <si>
    <t>Cs</t>
  </si>
  <si>
    <t xml:space="preserve"> + S I X</t>
  </si>
  <si>
    <t>🎒 Backpack Adventure – Master Tracker</t>
  </si>
  <si>
    <t>── LOCATION ──</t>
  </si>
  <si>
    <t>── ITEMS ──</t>
  </si>
  <si>
    <t>── PUZZLE ──</t>
  </si>
  <si>
    <t>── ANSWER ──</t>
  </si>
  <si>
    <t>#</t>
  </si>
  <si>
    <t>Stage Name</t>
  </si>
  <si>
    <t>Location
in Bag</t>
  </si>
  <si>
    <t>← Comes
From Stage</t>
  </si>
  <si>
    <t>Puzzle /
Challenge</t>
  </si>
  <si>
    <t>Solution Logic</t>
  </si>
  <si>
    <t>Code /
Answer</t>
  </si>
  <si>
    <t>Unlocks →</t>
  </si>
  <si>
    <t>Difficulty
(1–5)</t>
  </si>
  <si>
    <t>Notes</t>
  </si>
  <si>
    <t>Start of Backpack</t>
  </si>
  <si>
    <t>–</t>
  </si>
  <si>
    <t>Hidden numbers in
animal stickers</t>
  </si>
  <si>
    <t>Each sticker animal's geological era → one digit
(order of eras = order of digits)</t>
  </si>
  <si>
    <t>7  4  9</t>
  </si>
  <si>
    <t>Front Compartment</t>
  </si>
  <si>
    <t>Front zip
compartment</t>
  </si>
  <si>
    <t>Note card (ADHD &amp; Plushy)
Word search + sudoku page</t>
  </si>
  <si>
    <t>Lego number (0 blue)
Lego hobbies pieces
Sticker with IV blue
→ used in Stage 4</t>
  </si>
  <si>
    <t>Word search + sudoku
combo puzzle</t>
  </si>
  <si>
    <t>Words in search draw digits 7 &amp; 3;
highlighted sudoku box = 4</t>
  </si>
  <si>
    <t>7  3  4</t>
  </si>
  <si>
    <t>Front Pocket</t>
  </si>
  <si>
    <t>Items for later placed here so player carries them without knowing why</t>
  </si>
  <si>
    <t>Small front
pocket</t>
  </si>
  <si>
    <t>Card from grandparents
News article about dog</t>
  </si>
  <si>
    <t>Value of v (on back
of news clipping)
→ used in Stage 4</t>
  </si>
  <si>
    <t>Find the dog's name
on collar in photo</t>
  </si>
  <si>
    <t>Dog collar in news article photo clearly reads MOON</t>
  </si>
  <si>
    <t>M O O N</t>
  </si>
  <si>
    <t>Large Compartment</t>
  </si>
  <si>
    <t>Easy breather before the final hard stage</t>
  </si>
  <si>
    <t>Main large
compartment</t>
  </si>
  <si>
    <t>Lego pieces from Stage 2
Value of v from Stage 3</t>
  </si>
  <si>
    <t>Periodic table
Note about stars and ISS
Calculator</t>
  </si>
  <si>
    <t>Locked pouch + final bag
ISS instructions + Note
Lego cube
Lego jobs pieces</t>
  </si>
  <si>
    <t>Periodic table element
lookup from ISS note</t>
  </si>
  <si>
    <t>Sum atomic numbers of elements in ISS note
(KNoWN PHYSiCS). Requires calculator + periodic table</t>
  </si>
  <si>
    <t>6  2  3</t>
  </si>
  <si>
    <t>Top Pocket (END 🎉)</t>
  </si>
  <si>
    <t>Hardest stage — player must use items collected in stages 2 &amp; 3</t>
  </si>
  <si>
    <t>Introduction</t>
  </si>
  <si>
    <t>Main Handle</t>
  </si>
  <si>
    <t>Escape Backpack QR code card</t>
  </si>
  <si>
    <t>N/A</t>
  </si>
  <si>
    <t xml:space="preserve">Side water bottle pocket </t>
  </si>
  <si>
    <t>Items Used Here
(needed now)</t>
  </si>
  <si>
    <t>Items Received Here
(used later →)</t>
  </si>
  <si>
    <t>Water bottle + stickers</t>
  </si>
  <si>
    <t>Laminate and attached to the handle</t>
  </si>
  <si>
    <t>Hints</t>
  </si>
  <si>
    <t>Icon</t>
  </si>
  <si>
    <t>Map</t>
  </si>
  <si>
    <r>
      <rPr>
        <b/>
        <u/>
        <sz val="10"/>
        <color rgb="FF222222"/>
        <rFont val="Aptos"/>
        <family val="2"/>
      </rPr>
      <t>Hint 1:</t>
    </r>
    <r>
      <rPr>
        <sz val="10"/>
        <color rgb="FF222222"/>
        <rFont val="Aptos"/>
        <family val="2"/>
      </rPr>
      <t xml:space="preserve"> Look closely at the water bottle that is on the side of the backpack.
</t>
    </r>
    <r>
      <rPr>
        <b/>
        <u/>
        <sz val="10"/>
        <color rgb="FF222222"/>
        <rFont val="Aptos"/>
        <family val="2"/>
      </rPr>
      <t>Hint 2:</t>
    </r>
    <r>
      <rPr>
        <sz val="10"/>
        <color rgb="FF222222"/>
        <rFont val="Aptos"/>
        <family val="2"/>
      </rPr>
      <t xml:space="preserve"> On the water bottle, you will find animals that might have something special on them.
</t>
    </r>
    <r>
      <rPr>
        <b/>
        <u/>
        <sz val="10"/>
        <color rgb="FF222222"/>
        <rFont val="Aptos"/>
        <family val="2"/>
      </rPr>
      <t>Hint 3:</t>
    </r>
    <r>
      <rPr>
        <sz val="10"/>
        <color rgb="FF222222"/>
        <rFont val="Aptos"/>
        <family val="2"/>
      </rPr>
      <t xml:space="preserve"> Some numbers are hidden on the animals. The order in which to put them might be related to the era of each animal.
</t>
    </r>
    <r>
      <rPr>
        <b/>
        <u/>
        <sz val="10"/>
        <color rgb="FF222222"/>
        <rFont val="Aptos"/>
        <family val="2"/>
      </rPr>
      <t>Solution:</t>
    </r>
    <r>
      <rPr>
        <sz val="10"/>
        <color rgb="FF222222"/>
        <rFont val="Aptos"/>
        <family val="2"/>
      </rPr>
      <t xml:space="preserve"> 7 4 9 [image1]</t>
    </r>
  </si>
  <si>
    <r>
      <rPr>
        <b/>
        <u/>
        <sz val="10"/>
        <color rgb="FF222222"/>
        <rFont val="Aptos"/>
        <family val="2"/>
      </rPr>
      <t>Hint 1:</t>
    </r>
    <r>
      <rPr>
        <sz val="10"/>
        <color rgb="FF222222"/>
        <rFont val="Aptos"/>
        <family val="2"/>
      </rPr>
      <t xml:space="preserve"> The word search and sudoku should come in handy for the next lock. Feel free to use the pen provided to complete them.
</t>
    </r>
    <r>
      <rPr>
        <b/>
        <u/>
        <sz val="10"/>
        <color rgb="FF222222"/>
        <rFont val="Aptos"/>
        <family val="2"/>
      </rPr>
      <t xml:space="preserve">Hint 2: </t>
    </r>
    <r>
      <rPr>
        <sz val="10"/>
        <color rgb="FF222222"/>
        <rFont val="Aptos"/>
        <family val="2"/>
      </rPr>
      <t xml:space="preserve">Look closely at the note to help you complete the word search.
</t>
    </r>
    <r>
      <rPr>
        <b/>
        <u/>
        <sz val="10"/>
        <color rgb="FF222222"/>
        <rFont val="Aptos"/>
        <family val="2"/>
      </rPr>
      <t>Hint 3:</t>
    </r>
    <r>
      <rPr>
        <sz val="10"/>
        <color rgb="FF222222"/>
        <rFont val="Aptos"/>
        <family val="2"/>
      </rPr>
      <t xml:space="preserve"> For the word search, use the words underlined in the note to give you 2 numbers. The sudoku blue box will give you the last number. 
</t>
    </r>
    <r>
      <rPr>
        <b/>
        <u/>
        <sz val="10"/>
        <color rgb="FF222222"/>
        <rFont val="Aptos"/>
        <family val="2"/>
      </rPr>
      <t>Solution:</t>
    </r>
    <r>
      <rPr>
        <sz val="10"/>
        <color rgb="FF222222"/>
        <rFont val="Aptos"/>
        <family val="2"/>
      </rPr>
      <t xml:space="preserve"> 7 3 4 [image2]</t>
    </r>
  </si>
  <si>
    <r>
      <rPr>
        <b/>
        <u/>
        <sz val="10"/>
        <color rgb="FF222222"/>
        <rFont val="Aptos"/>
        <family val="2"/>
      </rPr>
      <t>Hint 1:</t>
    </r>
    <r>
      <rPr>
        <sz val="10"/>
        <color rgb="FF222222"/>
        <rFont val="Aptos"/>
        <family val="2"/>
      </rPr>
      <t xml:space="preserve"> Some items and information provided will not be needed for the next lock but to keep for later. 
</t>
    </r>
    <r>
      <rPr>
        <b/>
        <u/>
        <sz val="10"/>
        <color rgb="FF222222"/>
        <rFont val="Aptos"/>
        <family val="2"/>
      </rPr>
      <t>Hint 2:</t>
    </r>
    <r>
      <rPr>
        <sz val="10"/>
        <color rgb="FF222222"/>
        <rFont val="Aptos"/>
        <family val="2"/>
      </rPr>
      <t xml:space="preserve"> In the card, there is a news clipping that has the information needed to open the next lock. 
</t>
    </r>
    <r>
      <rPr>
        <b/>
        <u/>
        <sz val="10"/>
        <color rgb="FF222222"/>
        <rFont val="Aptos"/>
        <family val="2"/>
      </rPr>
      <t>Hint 3:</t>
    </r>
    <r>
      <rPr>
        <sz val="10"/>
        <color rgb="FF222222"/>
        <rFont val="Aptos"/>
        <family val="2"/>
      </rPr>
      <t xml:space="preserve"> Look closely at the image in the news clipping. You are looking for a specific word related to the dog mentioned.  
</t>
    </r>
    <r>
      <rPr>
        <b/>
        <u/>
        <sz val="10"/>
        <color rgb="FF222222"/>
        <rFont val="Aptos"/>
        <family val="2"/>
      </rPr>
      <t>Solution:</t>
    </r>
    <r>
      <rPr>
        <sz val="10"/>
        <color rgb="FF222222"/>
        <rFont val="Aptos"/>
        <family val="2"/>
      </rPr>
      <t xml:space="preserve"> M O O N (dog's name) [image3]</t>
    </r>
  </si>
  <si>
    <r>
      <rPr>
        <b/>
        <u/>
        <sz val="10"/>
        <color rgb="FF222222"/>
        <rFont val="Aptos"/>
        <family val="2"/>
      </rPr>
      <t xml:space="preserve">Hint 1: </t>
    </r>
    <r>
      <rPr>
        <sz val="10"/>
        <color rgb="FF222222"/>
        <rFont val="Aptos"/>
        <family val="2"/>
      </rPr>
      <t xml:space="preserve">You will have a lot of items now but you are missing a few pieces to use them. In the main compartment, you should find a clue and an item to unlock a new lock. 
</t>
    </r>
    <r>
      <rPr>
        <b/>
        <u/>
        <sz val="10"/>
        <color rgb="FF222222"/>
        <rFont val="Aptos"/>
        <family val="2"/>
      </rPr>
      <t>Hint 2:</t>
    </r>
    <r>
      <rPr>
        <b/>
        <sz val="10"/>
        <color rgb="FF222222"/>
        <rFont val="Aptos"/>
        <family val="2"/>
      </rPr>
      <t xml:space="preserve"> </t>
    </r>
    <r>
      <rPr>
        <sz val="10"/>
        <color rgb="FF222222"/>
        <rFont val="Aptos"/>
        <family val="2"/>
      </rPr>
      <t xml:space="preserve">The periodic table might be helpful to get the next combination, some addition might be required. Feel free to use the calculator provided.
</t>
    </r>
    <r>
      <rPr>
        <b/>
        <u/>
        <sz val="10"/>
        <color rgb="FF222222"/>
        <rFont val="Aptos"/>
        <family val="2"/>
      </rPr>
      <t>Hint 3:</t>
    </r>
    <r>
      <rPr>
        <sz val="10"/>
        <color rgb="FF222222"/>
        <rFont val="Aptos"/>
        <family val="2"/>
      </rPr>
      <t xml:space="preserve"> On the card with the ISS drawing, there is a clue to use with the periodic table. The numbers at the top left of some elements should come in handy.
</t>
    </r>
    <r>
      <rPr>
        <b/>
        <u/>
        <sz val="10"/>
        <color rgb="FF222222"/>
        <rFont val="Aptos"/>
        <family val="2"/>
      </rPr>
      <t>Solution:</t>
    </r>
    <r>
      <rPr>
        <sz val="10"/>
        <color rgb="FF222222"/>
        <rFont val="Aptos"/>
        <family val="2"/>
      </rPr>
      <t xml:space="preserve"> 3 2 6 
K - No - W - N - P - H - Y - Si - Cs 
19 + 102 + 74 + 7 + 15 + 1 + 39 + 14 + 55 = 326 [image4]</t>
    </r>
  </si>
  <si>
    <r>
      <rPr>
        <b/>
        <u/>
        <sz val="10"/>
        <color rgb="FF222222"/>
        <rFont val="Aptos"/>
        <family val="2"/>
      </rPr>
      <t>Hint 1:</t>
    </r>
    <r>
      <rPr>
        <sz val="10"/>
        <color rgb="FF222222"/>
        <rFont val="Aptos"/>
        <family val="2"/>
      </rPr>
      <t xml:space="preserve"> You now have collected additional items. With the new items and what you already have, you should be able to unlock the final lock on the backpack. 
</t>
    </r>
    <r>
      <rPr>
        <b/>
        <u/>
        <sz val="10"/>
        <color rgb="FF222222"/>
        <rFont val="Aptos"/>
        <family val="2"/>
      </rPr>
      <t xml:space="preserve">Hint 2: </t>
    </r>
    <r>
      <rPr>
        <sz val="10"/>
        <color rgb="FF222222"/>
        <rFont val="Aptos"/>
        <family val="2"/>
      </rPr>
      <t xml:space="preserve">Use the instructions to build the Lego satellite. With the note, the calculator and the Lego model, you should be able to solve the next problem. 
</t>
    </r>
    <r>
      <rPr>
        <b/>
        <u/>
        <sz val="10"/>
        <color rgb="FF222222"/>
        <rFont val="Aptos"/>
        <family val="2"/>
      </rPr>
      <t>Hint 3:</t>
    </r>
    <r>
      <rPr>
        <sz val="10"/>
        <color rgb="FF222222"/>
        <rFont val="Aptos"/>
        <family val="2"/>
      </rPr>
      <t xml:space="preserve"> The note indicates the equation, that the numbers you are looking for are scattered around and that a slight correction is needed.
You should have all the numbers if you look at what you already have.
The correction might come from the Lego model you built and some mysterious scribbles.
</t>
    </r>
    <r>
      <rPr>
        <b/>
        <u/>
        <sz val="10"/>
        <color rgb="FF222222"/>
        <rFont val="Aptos"/>
        <family val="2"/>
      </rPr>
      <t>Solution:</t>
    </r>
    <r>
      <rPr>
        <sz val="10"/>
        <color rgb="FF222222"/>
        <rFont val="Aptos"/>
        <family val="2"/>
      </rPr>
      <t xml:space="preserve"> 4 1 4
GM (401,926.91) can be found behind the calculator, v (7.7) can be found behind the news clipping, and Re (6,779) can be found on step 6 of the Lego instructions.
Equation gives 401,926.91 /  (7.7 x 7.7) - 6,779 = 408
The combination of the Lego satellite and the inscriptions at the back of the card by aligning the edges of the satellite with the red markings provides the correction. It gives + S I X.
Solution is 408 + 6 = 414 [image5]</t>
    </r>
  </si>
  <si>
    <r>
      <rPr>
        <b/>
        <u/>
        <sz val="10"/>
        <color rgb="FF222222"/>
        <rFont val="Aptos"/>
        <family val="2"/>
      </rPr>
      <t>Hint 1:</t>
    </r>
    <r>
      <rPr>
        <sz val="10"/>
        <color rgb="FF222222"/>
        <rFont val="Aptos"/>
        <family val="2"/>
      </rPr>
      <t xml:space="preserve"> You have received new items that will help you get into one of the compartment of the pouch that was in the backpack. Those should be enough to unlock the next lock. 
</t>
    </r>
    <r>
      <rPr>
        <b/>
        <u/>
        <sz val="10"/>
        <color rgb="FF222222"/>
        <rFont val="Aptos"/>
        <family val="2"/>
      </rPr>
      <t>Hint 2:</t>
    </r>
    <r>
      <rPr>
        <sz val="10"/>
        <color rgb="FF222222"/>
        <rFont val="Aptos"/>
        <family val="2"/>
      </rPr>
      <t xml:space="preserve"> After completing the puzzle, you should have some instructions on how to get the next combination. 
</t>
    </r>
    <r>
      <rPr>
        <b/>
        <u/>
        <sz val="10"/>
        <color rgb="FF222222"/>
        <rFont val="Aptos"/>
        <family val="2"/>
      </rPr>
      <t>Hint 3:</t>
    </r>
    <r>
      <rPr>
        <sz val="10"/>
        <color rgb="FF222222"/>
        <rFont val="Aptos"/>
        <family val="2"/>
      </rPr>
      <t xml:space="preserve"> The back of the puzzle tells you what to look for (Card Numbers of Canadian Born Players) and the hockey cards will give you the numbers needed. Again, feel free to use the calculator provided.
</t>
    </r>
    <r>
      <rPr>
        <b/>
        <u/>
        <sz val="10"/>
        <color rgb="FF222222"/>
        <rFont val="Aptos"/>
        <family val="2"/>
      </rPr>
      <t>Solution:</t>
    </r>
    <r>
      <rPr>
        <sz val="10"/>
        <color rgb="FF222222"/>
        <rFont val="Aptos"/>
        <family val="2"/>
      </rPr>
      <t xml:space="preserve"> 1 0 2 
Jaime Bourbonnais (#13) born in Mississauga (Ontario), Daryl Watts (#22) born in Toronto (Ontario), Jocelyne Larocque (#18) born in Ste. Anne (Manitoba) and Natalie Spooner (#49) born in Scarborough (Ontario). 13 + 22 + 18 + 49 = 102</t>
    </r>
  </si>
  <si>
    <r>
      <rPr>
        <b/>
        <u/>
        <sz val="10"/>
        <color rgb="FF222222"/>
        <rFont val="Aptos"/>
        <family val="2"/>
      </rPr>
      <t>Hint 1:</t>
    </r>
    <r>
      <rPr>
        <sz val="10"/>
        <color rgb="FF222222"/>
        <rFont val="Aptos"/>
        <family val="2"/>
      </rPr>
      <t xml:space="preserve"> You have received the last item to complete a puzzle that you've had for a while. 
</t>
    </r>
    <r>
      <rPr>
        <b/>
        <u/>
        <sz val="10"/>
        <color rgb="FF222222"/>
        <rFont val="Aptos"/>
        <family val="2"/>
      </rPr>
      <t>Hint 2:</t>
    </r>
    <r>
      <rPr>
        <sz val="10"/>
        <color rgb="FF222222"/>
        <rFont val="Aptos"/>
        <family val="2"/>
      </rPr>
      <t xml:space="preserve"> You have 3 Lego puzzles to complete. You should already have information to help you put the results from the Lego puzzles in the right order. 
</t>
    </r>
    <r>
      <rPr>
        <b/>
        <u/>
        <sz val="10"/>
        <color rgb="FF222222"/>
        <rFont val="Aptos"/>
        <family val="2"/>
      </rPr>
      <t>Hint 3:</t>
    </r>
    <r>
      <rPr>
        <sz val="10"/>
        <color rgb="FF222222"/>
        <rFont val="Aptos"/>
        <family val="2"/>
      </rPr>
      <t xml:space="preserve"> The card you received tells you the order in which to put the numbers from the Lego puzzles.  
For the square Lego puzzle, use the black tile on top to push/pull tiles to reveal the number. 
For the flat Lego puzzle, use the green tile on top to push the orange tiles inside the puzzle and retrieve a hidden piece. 
For the Lego puzzle made of different pieces, it makes a cube that will reveal 2 numbers to add. 
</t>
    </r>
    <r>
      <rPr>
        <b/>
        <u/>
        <sz val="10"/>
        <color rgb="FF222222"/>
        <rFont val="Aptos"/>
        <family val="2"/>
      </rPr>
      <t>Solution:</t>
    </r>
    <r>
      <rPr>
        <sz val="10"/>
        <color rgb="FF222222"/>
        <rFont val="Aptos"/>
        <family val="2"/>
      </rPr>
      <t xml:space="preserve"> 5 1 8
Square puzzle reveals the number 5
Flat puzzle gives you a small round tile with the number 1
The cube when assembled shows 5 + 3 = 8</t>
    </r>
  </si>
  <si>
    <r>
      <rPr>
        <b/>
        <u/>
        <sz val="10"/>
        <color rgb="FF222222"/>
        <rFont val="Aptos"/>
        <family val="2"/>
      </rPr>
      <t>Hint 1:</t>
    </r>
    <r>
      <rPr>
        <sz val="10"/>
        <color rgb="FF222222"/>
        <rFont val="Aptos"/>
        <family val="2"/>
      </rPr>
      <t xml:space="preserve"> You should have collected a number of bags with Lego items in them, now might be the time to use them.
</t>
    </r>
    <r>
      <rPr>
        <b/>
        <u/>
        <sz val="10"/>
        <color rgb="FF222222"/>
        <rFont val="Aptos"/>
        <family val="2"/>
      </rPr>
      <t>Hint 2:</t>
    </r>
    <r>
      <rPr>
        <sz val="10"/>
        <color rgb="FF222222"/>
        <rFont val="Aptos"/>
        <family val="2"/>
      </rPr>
      <t xml:space="preserve"> The riddle in the notebook will help you find the combination needed to assemble the Lego items.
</t>
    </r>
    <r>
      <rPr>
        <b/>
        <u/>
        <sz val="10"/>
        <color rgb="FF222222"/>
        <rFont val="Aptos"/>
        <family val="2"/>
      </rPr>
      <t>Hint 3:</t>
    </r>
    <r>
      <rPr>
        <sz val="10"/>
        <color rgb="FF222222"/>
        <rFont val="Aptos"/>
        <family val="2"/>
      </rPr>
      <t xml:space="preserve"> You are looking for the doctor. You can use the Lego parts to build the characters as you read the riddle to help you find his name.
</t>
    </r>
    <r>
      <rPr>
        <b/>
        <u/>
        <sz val="10"/>
        <color rgb="FF222222"/>
        <rFont val="Aptos"/>
        <family val="2"/>
      </rPr>
      <t>Solution:</t>
    </r>
    <r>
      <rPr>
        <sz val="10"/>
        <color rgb="FF222222"/>
        <rFont val="Aptos"/>
        <family val="2"/>
      </rPr>
      <t xml:space="preserve"> D I C K [image8]</t>
    </r>
  </si>
  <si>
    <r>
      <rPr>
        <b/>
        <u/>
        <sz val="10"/>
        <color rgb="FF222222"/>
        <rFont val="Aptos"/>
        <family val="2"/>
      </rPr>
      <t>Hint 1:</t>
    </r>
    <r>
      <rPr>
        <sz val="10"/>
        <color rgb="FF222222"/>
        <rFont val="Aptos"/>
        <family val="2"/>
      </rPr>
      <t xml:space="preserve"> The combination of the map and agenda should give you the information needed.
</t>
    </r>
    <r>
      <rPr>
        <b/>
        <u/>
        <sz val="10"/>
        <color rgb="FF222222"/>
        <rFont val="Aptos"/>
        <family val="2"/>
      </rPr>
      <t>Hint 2:</t>
    </r>
    <r>
      <rPr>
        <sz val="10"/>
        <color rgb="FF222222"/>
        <rFont val="Aptos"/>
        <family val="2"/>
      </rPr>
      <t xml:space="preserve"> Once you have assembled the map, the agenda will help you trace your steps for the day. The Lego characters you have previously built should help you find some houses.
</t>
    </r>
    <r>
      <rPr>
        <b/>
        <u/>
        <sz val="10"/>
        <color rgb="FF222222"/>
        <rFont val="Aptos"/>
        <family val="2"/>
      </rPr>
      <t>Hint 3:</t>
    </r>
    <r>
      <rPr>
        <sz val="10"/>
        <color rgb="FF222222"/>
        <rFont val="Aptos"/>
        <family val="2"/>
      </rPr>
      <t xml:space="preserve"> As explained in the note, the errands should be done first. Follow the steps on the map to discover the first number. Then the day is the second item.
</t>
    </r>
    <r>
      <rPr>
        <b/>
        <u/>
        <sz val="10"/>
        <color rgb="FF222222"/>
        <rFont val="Aptos"/>
        <family val="2"/>
      </rPr>
      <t>Solution:</t>
    </r>
    <r>
      <rPr>
        <sz val="10"/>
        <color rgb="FF222222"/>
        <rFont val="Aptos"/>
        <family val="2"/>
      </rPr>
      <t xml:space="preserve"> 6 3 2
6 3 correspond to the date, 2 is the number revealed by the errands. [image9]</t>
    </r>
  </si>
  <si>
    <r>
      <rPr>
        <b/>
        <u/>
        <sz val="10"/>
        <color rgb="FF222222"/>
        <rFont val="Aptos"/>
        <family val="2"/>
      </rPr>
      <t>Hint 1:</t>
    </r>
    <r>
      <rPr>
        <sz val="10"/>
        <color rgb="FF222222"/>
        <rFont val="Aptos"/>
        <family val="2"/>
      </rPr>
      <t xml:space="preserve"> This is the final lock! You should have collected all the pieces needed to help you with it.
</t>
    </r>
    <r>
      <rPr>
        <b/>
        <u/>
        <sz val="10"/>
        <color rgb="FF222222"/>
        <rFont val="Aptos"/>
        <family val="2"/>
      </rPr>
      <t>Hint 2:</t>
    </r>
    <r>
      <rPr>
        <sz val="10"/>
        <color rgb="FF222222"/>
        <rFont val="Aptos"/>
        <family val="2"/>
      </rPr>
      <t xml:space="preserve"> You should have 4 numbers made out of Lego, you should be able to find clues to put them in the correct order.
</t>
    </r>
    <r>
      <rPr>
        <b/>
        <u/>
        <sz val="10"/>
        <color rgb="FF222222"/>
        <rFont val="Aptos"/>
        <family val="2"/>
      </rPr>
      <t>Hint 3:</t>
    </r>
    <r>
      <rPr>
        <sz val="10"/>
        <color rgb="FF222222"/>
        <rFont val="Aptos"/>
        <family val="2"/>
      </rPr>
      <t xml:space="preserve"> Look back at previous clues/instructions, there should be hidden markings to help you order the Lego numbers based on their colour.
</t>
    </r>
    <r>
      <rPr>
        <b/>
        <u/>
        <sz val="10"/>
        <color rgb="FF222222"/>
        <rFont val="Aptos"/>
        <family val="2"/>
      </rPr>
      <t>Solution:</t>
    </r>
    <r>
      <rPr>
        <sz val="10"/>
        <color rgb="FF222222"/>
        <rFont val="Aptos"/>
        <family val="2"/>
      </rPr>
      <t xml:space="preserve"> 4 1 3 0</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</si>
</sst>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
  </numFmts>
  <fonts count="17" x14ac:knownFonts="1">
    <font>
      <sz val="11"/>
      <color theme="1"/>
      <name val="Calibri"/>
      <family val="2"/>
      <scheme val="minor"/>
    </font>
    <font>
      <b/>
      <sz val="18"/>
      <color theme="1"/>
      <name val="Calibri"/>
      <family val="2"/>
      <scheme val="minor"/>
    </font>
    <font>
      <sz val="22"/>
      <color theme="1"/>
      <name val="Calibri"/>
      <family val="2"/>
      <scheme val="minor"/>
    </font>
    <font>
      <b/>
      <sz val="22"/>
      <color theme="1"/>
      <name val="Calibri"/>
      <family val="2"/>
      <scheme val="minor"/>
    </font>
    <font>
      <b/>
      <sz val="36"/>
      <color rgb="FF00B050"/>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b/>
      <sz val="16"/>
      <color rgb="FFFFFFFF"/>
      <name val="Aptos"/>
      <family val="2"/>
    </font>
    <font>
      <i/>
      <sz val="8"/>
      <color rgb="FF888888"/>
      <name val="Aptos"/>
      <family val="2"/>
    </font>
    <font>
      <b/>
      <sz val="10"/>
      <color rgb="FFFFFFFF"/>
      <name val="Aptos"/>
      <family val="2"/>
    </font>
    <font>
      <b/>
      <sz val="10"/>
      <color rgb="FF222222"/>
      <name val="Aptos"/>
      <family val="2"/>
    </font>
    <font>
      <sz val="10"/>
      <color rgb="FF222222"/>
      <name val="Aptos"/>
      <family val="2"/>
    </font>
    <font>
      <i/>
      <sz val="10"/>
      <color rgb="FF7D5800"/>
      <name val="Aptos"/>
      <family val="2"/>
    </font>
    <font>
      <b/>
      <sz val="11"/>
      <color rgb="FF222222"/>
      <name val="Aptos"/>
      <family val="2"/>
    </font>
    <font>
      <i/>
      <sz val="9"/>
      <color rgb="FF555555"/>
      <name val="Aptos"/>
      <family val="2"/>
    </font>
    <font>
      <b/>
      <u/>
      <sz val="10"/>
      <color rgb="FF222222"/>
      <name val="Aptos"/>
      <family val="2"/>
    </font>
  </fonts>
  <fills count="18">
    <fill>
      <patternFill patternType="none"/>
    </fill>
    <fill>
      <patternFill patternType="gray125"/>
    </fill>
    <fill>
      <patternFill patternType="solid">
        <fgColor theme="9" tint="0.79998168889431442"/>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8"/>
      </patternFill>
    </fill>
    <fill>
      <patternFill patternType="solid">
        <fgColor rgb="FF2C3E6B"/>
      </patternFill>
    </fill>
    <fill>
      <patternFill patternType="solid">
        <fgColor rgb="FF3A7DBF"/>
      </patternFill>
    </fill>
    <fill>
      <patternFill patternType="solid">
        <fgColor rgb="FFC8960C"/>
      </patternFill>
    </fill>
    <fill>
      <patternFill patternType="solid">
        <fgColor rgb="FF2E7D52"/>
      </patternFill>
    </fill>
    <fill>
      <patternFill patternType="solid">
        <fgColor rgb="FFB8560A"/>
      </patternFill>
    </fill>
    <fill>
      <patternFill patternType="solid">
        <fgColor rgb="FF5E35A8"/>
      </patternFill>
    </fill>
    <fill>
      <patternFill patternType="solid">
        <fgColor rgb="FFD6E8F7"/>
      </patternFill>
    </fill>
    <fill>
      <patternFill patternType="solid">
        <fgColor rgb="FFE8F5E9"/>
      </patternFill>
    </fill>
    <fill>
      <patternFill patternType="solid">
        <fgColor rgb="FFFDE8C8"/>
      </patternFill>
    </fill>
    <fill>
      <patternFill patternType="solid">
        <fgColor rgb="FFEDE0F5"/>
      </patternFill>
    </fill>
    <fill>
      <patternFill patternType="solid">
        <fgColor rgb="FFF4F8FD"/>
      </patternFill>
    </fill>
    <fill>
      <patternFill patternType="solid">
        <fgColor rgb="FFFFF3CD"/>
      </patternFill>
    </fill>
  </fills>
  <borders count="1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B0C4DE"/>
      </left>
      <right style="thin">
        <color rgb="FFB0C4DE"/>
      </right>
      <top style="thin">
        <color rgb="FFB0C4DE"/>
      </top>
      <bottom style="thin">
        <color rgb="FFB0C4DE"/>
      </bottom>
      <diagonal/>
    </border>
  </borders>
  <cellStyleXfs count="3">
    <xf numFmtId="0" fontId="0" fillId="0" borderId="0"/>
    <xf numFmtId="0" fontId="6" fillId="5" borderId="0" applyNumberFormat="0" applyBorder="0" applyAlignment="0" applyProtection="0"/>
    <xf numFmtId="0" fontId="7" fillId="0" borderId="0" applyNumberFormat="0" applyFill="0" applyBorder="0" applyAlignment="0" applyProtection="0"/>
  </cellStyleXfs>
  <cellXfs count="56">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0" borderId="1" xfId="0" applyBorder="1" applyAlignment="1">
      <alignment horizontal="center"/>
    </xf>
    <xf numFmtId="0" fontId="5" fillId="5" borderId="0" xfId="1" applyFont="1" applyAlignment="1">
      <alignment horizontal="center"/>
    </xf>
    <xf numFmtId="0" fontId="0" fillId="0" borderId="0" xfId="0" applyAlignment="1">
      <alignment horizontal="left"/>
    </xf>
    <xf numFmtId="4" fontId="0" fillId="0" borderId="0" xfId="0" applyNumberFormat="1"/>
    <xf numFmtId="164" fontId="0" fillId="0" borderId="0" xfId="0" applyNumberFormat="1"/>
    <xf numFmtId="165" fontId="0" fillId="0" borderId="0" xfId="0" applyNumberFormat="1"/>
    <xf numFmtId="0" fontId="0" fillId="0" borderId="0" xfId="0" quotePrefix="1"/>
    <xf numFmtId="0" fontId="7" fillId="0" borderId="0" xfId="2"/>
    <xf numFmtId="0" fontId="9" fillId="0" borderId="0" xfId="0" applyFont="1" applyAlignment="1">
      <alignment horizontal="center" vertical="center"/>
    </xf>
    <xf numFmtId="0" fontId="10" fillId="6" borderId="10" xfId="0" applyFont="1" applyFill="1" applyBorder="1" applyAlignment="1">
      <alignment horizontal="center" vertical="center" wrapText="1"/>
    </xf>
    <xf numFmtId="0" fontId="10" fillId="7" borderId="10" xfId="0" applyFont="1" applyFill="1" applyBorder="1" applyAlignment="1">
      <alignment horizontal="center" vertical="center" wrapText="1"/>
    </xf>
    <xf numFmtId="0" fontId="10" fillId="8" borderId="10" xfId="0" applyFont="1" applyFill="1" applyBorder="1" applyAlignment="1">
      <alignment horizontal="center" vertical="center" wrapText="1"/>
    </xf>
    <xf numFmtId="0" fontId="10" fillId="9" borderId="10" xfId="0" applyFont="1" applyFill="1" applyBorder="1" applyAlignment="1">
      <alignment horizontal="center" vertical="center" wrapText="1"/>
    </xf>
    <xf numFmtId="0" fontId="10" fillId="10" borderId="10" xfId="0" applyFont="1" applyFill="1" applyBorder="1" applyAlignment="1">
      <alignment horizontal="center" vertical="center" wrapText="1"/>
    </xf>
    <xf numFmtId="0" fontId="10" fillId="11" borderId="10" xfId="0" applyFont="1" applyFill="1" applyBorder="1" applyAlignment="1">
      <alignment horizontal="center" vertical="center" wrapText="1"/>
    </xf>
    <xf numFmtId="0" fontId="11" fillId="16" borderId="10" xfId="0" applyFont="1" applyFill="1" applyBorder="1" applyAlignment="1">
      <alignment horizontal="center" vertical="center" wrapText="1"/>
    </xf>
    <xf numFmtId="0" fontId="11" fillId="16" borderId="10" xfId="0" applyFont="1" applyFill="1" applyBorder="1" applyAlignment="1">
      <alignment horizontal="left" vertical="center" wrapText="1"/>
    </xf>
    <xf numFmtId="0" fontId="12" fillId="16" borderId="10" xfId="0" applyFont="1" applyFill="1" applyBorder="1" applyAlignment="1">
      <alignment horizontal="left" vertical="center" wrapText="1"/>
    </xf>
    <xf numFmtId="0" fontId="12" fillId="12" borderId="10" xfId="0" applyFont="1" applyFill="1" applyBorder="1" applyAlignment="1">
      <alignment horizontal="left" vertical="center" wrapText="1"/>
    </xf>
    <xf numFmtId="0" fontId="13" fillId="17" borderId="10" xfId="0" applyFont="1" applyFill="1" applyBorder="1" applyAlignment="1">
      <alignment horizontal="left" vertical="center" wrapText="1"/>
    </xf>
    <xf numFmtId="0" fontId="12" fillId="13" borderId="10" xfId="0" applyFont="1" applyFill="1" applyBorder="1" applyAlignment="1">
      <alignment horizontal="left" vertical="center" wrapText="1"/>
    </xf>
    <xf numFmtId="0" fontId="14" fillId="14" borderId="10" xfId="0" applyFont="1" applyFill="1" applyBorder="1" applyAlignment="1">
      <alignment horizontal="center" vertical="center" wrapText="1"/>
    </xf>
    <xf numFmtId="0" fontId="11" fillId="15" borderId="10" xfId="0" applyFont="1" applyFill="1" applyBorder="1" applyAlignment="1">
      <alignment horizontal="center" vertical="center" wrapText="1"/>
    </xf>
    <xf numFmtId="0" fontId="12" fillId="16" borderId="10" xfId="0" applyFont="1" applyFill="1" applyBorder="1" applyAlignment="1">
      <alignment horizontal="center" vertical="center" wrapText="1"/>
    </xf>
    <xf numFmtId="0" fontId="15" fillId="16" borderId="10" xfId="0" applyFont="1" applyFill="1" applyBorder="1" applyAlignment="1">
      <alignment horizontal="left" vertical="center" wrapText="1"/>
    </xf>
    <xf numFmtId="2" fontId="0" fillId="0" borderId="0" xfId="0" applyNumberFormat="1"/>
    <xf numFmtId="0" fontId="8" fillId="6" borderId="0" xfId="0" applyFont="1" applyFill="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3" fillId="0" borderId="1"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2" fillId="0" borderId="6"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2" xfId="0" applyFont="1" applyBorder="1" applyAlignment="1">
      <alignment horizontal="center" vertical="center"/>
    </xf>
    <xf numFmtId="0" fontId="2" fillId="4" borderId="2"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1" fillId="0" borderId="0" xfId="0" applyFont="1" applyAlignment="1">
      <alignment horizontal="center" vertical="center"/>
    </xf>
    <xf numFmtId="0" fontId="0" fillId="0" borderId="0" xfId="0" applyAlignment="1">
      <alignment horizontal="left" vertical="center" wrapText="1"/>
    </xf>
    <xf numFmtId="0" fontId="4" fillId="0" borderId="0" xfId="0" applyFont="1" applyAlignment="1">
      <alignment horizontal="center" vertical="center"/>
    </xf>
  </cellXfs>
  <cellStyles count="3">
    <cellStyle name="Accent5" xfId="1" builtinId="45"/>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drawing1.xml><?xml version="1.0" encoding="utf-8"?>
<xdr:wsDr xmlns:xdr="http://schemas.openxmlformats.org/drawingml/2006/spreadsheetDrawing" xmlns:a="http://schemas.openxmlformats.org/drawingml/2006/main">
  <xdr:twoCellAnchor>
    <xdr:from>
      <xdr:col>4</xdr:col>
      <xdr:colOff>180976</xdr:colOff>
      <xdr:row>3</xdr:row>
      <xdr:rowOff>133350</xdr:rowOff>
    </xdr:from>
    <xdr:to>
      <xdr:col>11</xdr:col>
      <xdr:colOff>76201</xdr:colOff>
      <xdr:row>5</xdr:row>
      <xdr:rowOff>47625</xdr:rowOff>
    </xdr:to>
    <xdr:sp macro="" textlink="">
      <xdr:nvSpPr>
        <xdr:cNvPr id="2" name="Oval 1">
          <a:extLst>
            <a:ext uri="{FF2B5EF4-FFF2-40B4-BE49-F238E27FC236}">
              <a16:creationId xmlns:a16="http://schemas.microsoft.com/office/drawing/2014/main" id="{AABDB727-A8AE-1943-69AC-2A8CF996200A}"/>
            </a:ext>
          </a:extLst>
        </xdr:cNvPr>
        <xdr:cNvSpPr/>
      </xdr:nvSpPr>
      <xdr:spPr>
        <a:xfrm>
          <a:off x="1095376" y="704850"/>
          <a:ext cx="142875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3</xdr:col>
      <xdr:colOff>210281</xdr:colOff>
      <xdr:row>6</xdr:row>
      <xdr:rowOff>64259</xdr:rowOff>
    </xdr:from>
    <xdr:to>
      <xdr:col>12</xdr:col>
      <xdr:colOff>20869</xdr:colOff>
      <xdr:row>7</xdr:row>
      <xdr:rowOff>169034</xdr:rowOff>
    </xdr:to>
    <xdr:sp macro="" textlink="">
      <xdr:nvSpPr>
        <xdr:cNvPr id="3" name="Oval 2">
          <a:extLst>
            <a:ext uri="{FF2B5EF4-FFF2-40B4-BE49-F238E27FC236}">
              <a16:creationId xmlns:a16="http://schemas.microsoft.com/office/drawing/2014/main" id="{358C09DD-CADC-40FD-A671-DA4043817488}"/>
            </a:ext>
          </a:extLst>
        </xdr:cNvPr>
        <xdr:cNvSpPr/>
      </xdr:nvSpPr>
      <xdr:spPr>
        <a:xfrm rot="19145515">
          <a:off x="905606" y="1207259"/>
          <a:ext cx="1782263"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10</xdr:col>
      <xdr:colOff>180975</xdr:colOff>
      <xdr:row>6</xdr:row>
      <xdr:rowOff>142875</xdr:rowOff>
    </xdr:from>
    <xdr:to>
      <xdr:col>15</xdr:col>
      <xdr:colOff>76200</xdr:colOff>
      <xdr:row>8</xdr:row>
      <xdr:rowOff>57150</xdr:rowOff>
    </xdr:to>
    <xdr:sp macro="" textlink="">
      <xdr:nvSpPr>
        <xdr:cNvPr id="4" name="Oval 3">
          <a:extLst>
            <a:ext uri="{FF2B5EF4-FFF2-40B4-BE49-F238E27FC236}">
              <a16:creationId xmlns:a16="http://schemas.microsoft.com/office/drawing/2014/main" id="{450560A2-6B7F-4147-B2E9-44C0BB03BA22}"/>
            </a:ext>
          </a:extLst>
        </xdr:cNvPr>
        <xdr:cNvSpPr/>
      </xdr:nvSpPr>
      <xdr:spPr>
        <a:xfrm>
          <a:off x="2409825" y="1285875"/>
          <a:ext cx="99060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13</xdr:col>
      <xdr:colOff>195262</xdr:colOff>
      <xdr:row>6</xdr:row>
      <xdr:rowOff>119063</xdr:rowOff>
    </xdr:from>
    <xdr:to>
      <xdr:col>15</xdr:col>
      <xdr:colOff>52387</xdr:colOff>
      <xdr:row>15</xdr:row>
      <xdr:rowOff>114302</xdr:rowOff>
    </xdr:to>
    <xdr:sp macro="" textlink="">
      <xdr:nvSpPr>
        <xdr:cNvPr id="5" name="Oval 4">
          <a:extLst>
            <a:ext uri="{FF2B5EF4-FFF2-40B4-BE49-F238E27FC236}">
              <a16:creationId xmlns:a16="http://schemas.microsoft.com/office/drawing/2014/main" id="{C4D8271F-CC23-45F8-AC4A-FDBB375EF9E6}"/>
            </a:ext>
          </a:extLst>
        </xdr:cNvPr>
        <xdr:cNvSpPr/>
      </xdr:nvSpPr>
      <xdr:spPr>
        <a:xfrm rot="5400000">
          <a:off x="2374105" y="1969295"/>
          <a:ext cx="1709739"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10</xdr:col>
      <xdr:colOff>142875</xdr:colOff>
      <xdr:row>9</xdr:row>
      <xdr:rowOff>142875</xdr:rowOff>
    </xdr:from>
    <xdr:to>
      <xdr:col>15</xdr:col>
      <xdr:colOff>38100</xdr:colOff>
      <xdr:row>11</xdr:row>
      <xdr:rowOff>57150</xdr:rowOff>
    </xdr:to>
    <xdr:sp macro="" textlink="">
      <xdr:nvSpPr>
        <xdr:cNvPr id="6" name="Oval 5">
          <a:extLst>
            <a:ext uri="{FF2B5EF4-FFF2-40B4-BE49-F238E27FC236}">
              <a16:creationId xmlns:a16="http://schemas.microsoft.com/office/drawing/2014/main" id="{057E6728-A513-4F39-8393-796BDF9D3F42}"/>
            </a:ext>
          </a:extLst>
        </xdr:cNvPr>
        <xdr:cNvSpPr/>
      </xdr:nvSpPr>
      <xdr:spPr>
        <a:xfrm>
          <a:off x="2371725" y="1857375"/>
          <a:ext cx="99060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10</xdr:col>
      <xdr:colOff>171450</xdr:colOff>
      <xdr:row>13</xdr:row>
      <xdr:rowOff>142875</xdr:rowOff>
    </xdr:from>
    <xdr:to>
      <xdr:col>15</xdr:col>
      <xdr:colOff>66675</xdr:colOff>
      <xdr:row>15</xdr:row>
      <xdr:rowOff>57150</xdr:rowOff>
    </xdr:to>
    <xdr:sp macro="" textlink="">
      <xdr:nvSpPr>
        <xdr:cNvPr id="7" name="Oval 6">
          <a:extLst>
            <a:ext uri="{FF2B5EF4-FFF2-40B4-BE49-F238E27FC236}">
              <a16:creationId xmlns:a16="http://schemas.microsoft.com/office/drawing/2014/main" id="{31569988-1F60-43D4-A508-4BF01A0F6D37}"/>
            </a:ext>
          </a:extLst>
        </xdr:cNvPr>
        <xdr:cNvSpPr/>
      </xdr:nvSpPr>
      <xdr:spPr>
        <a:xfrm>
          <a:off x="2400300" y="2619375"/>
          <a:ext cx="99060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
  <rv s="0">
    <v>0</v>
    <v>5</v>
  </rv>
  <rv s="0">
    <v>1</v>
    <v>5</v>
  </rv>
  <rv s="0">
    <v>2</v>
    <v>5</v>
  </rv>
  <rv s="0">
    <v>3</v>
    <v>5</v>
  </rv>
  <rv s="0">
    <v>4</v>
    <v>5</v>
  </rv>
  <rv s="0">
    <v>5</v>
    <v>5</v>
  </rv>
  <rv s="0">
    <v>6</v>
    <v>5</v>
  </rv>
  <rv s="0">
    <v>7</v>
    <v>5</v>
  </rv>
  <rv s="0">
    <v>8</v>
    <v>5</v>
  </rv>
  <rv s="0">
    <v>9</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s://support.usa.canon.com/kb/s/article/ART163725"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8571C-67F3-4A93-A173-F5ACBB578192}">
  <sheetPr>
    <tabColor theme="9" tint="-0.249977111117893"/>
  </sheetPr>
  <dimension ref="A1:N14"/>
  <sheetViews>
    <sheetView showGridLines="0" tabSelected="1" workbookViewId="0">
      <pane ySplit="3" topLeftCell="A4" activePane="bottomLeft" state="frozen"/>
      <selection pane="bottomLeft" activeCell="C9" sqref="C9"/>
    </sheetView>
  </sheetViews>
  <sheetFormatPr defaultRowHeight="15" x14ac:dyDescent="0.25"/>
  <cols>
    <col min="1" max="1" width="4" customWidth="1"/>
    <col min="2" max="2" width="4.7109375" bestFit="1" customWidth="1"/>
    <col min="3" max="3" width="14" customWidth="1"/>
    <col min="4" max="4" width="10" customWidth="1"/>
    <col min="5" max="5" width="11.140625" customWidth="1"/>
    <col min="6" max="6" width="21" customWidth="1"/>
    <col min="7" max="7" width="24" customWidth="1"/>
    <col min="8" max="8" width="22" customWidth="1"/>
    <col min="9" max="9" width="23.140625" customWidth="1"/>
    <col min="10" max="10" width="12" customWidth="1"/>
    <col min="11" max="11" width="13.140625" customWidth="1"/>
    <col min="12" max="12" width="10" customWidth="1"/>
    <col min="13" max="13" width="138.5703125" customWidth="1"/>
    <col min="14" max="14" width="26" customWidth="1"/>
  </cols>
  <sheetData>
    <row r="1" spans="1:14" ht="38.1" customHeight="1" x14ac:dyDescent="0.25">
      <c r="A1" s="30" t="s">
        <v>131</v>
      </c>
      <c r="B1" s="30"/>
      <c r="C1" s="30"/>
      <c r="D1" s="30"/>
      <c r="E1" s="30"/>
      <c r="F1" s="30"/>
      <c r="G1" s="30"/>
      <c r="H1" s="30"/>
      <c r="I1" s="30"/>
      <c r="J1" s="30"/>
      <c r="K1" s="30"/>
      <c r="L1" s="30"/>
      <c r="M1" s="30"/>
      <c r="N1" s="30"/>
    </row>
    <row r="2" spans="1:14" ht="15.95" customHeight="1" x14ac:dyDescent="0.25">
      <c r="A2" s="12"/>
      <c r="B2" s="12"/>
      <c r="C2" s="12"/>
      <c r="D2" s="12" t="s">
        <v>132</v>
      </c>
      <c r="E2" s="12"/>
      <c r="F2" s="12" t="s">
        <v>133</v>
      </c>
      <c r="G2" s="12"/>
      <c r="H2" s="12" t="s">
        <v>134</v>
      </c>
      <c r="I2" s="12"/>
      <c r="J2" s="12" t="s">
        <v>135</v>
      </c>
      <c r="K2" s="12"/>
      <c r="L2" s="12"/>
      <c r="M2" s="12"/>
      <c r="N2" s="12"/>
    </row>
    <row r="3" spans="1:14" ht="38.1" customHeight="1" x14ac:dyDescent="0.25">
      <c r="A3" s="13" t="s">
        <v>136</v>
      </c>
      <c r="B3" s="13" t="s">
        <v>187</v>
      </c>
      <c r="C3" s="13" t="s">
        <v>137</v>
      </c>
      <c r="D3" s="13" t="s">
        <v>138</v>
      </c>
      <c r="E3" s="13" t="s">
        <v>139</v>
      </c>
      <c r="F3" s="14" t="s">
        <v>182</v>
      </c>
      <c r="G3" s="15" t="s">
        <v>183</v>
      </c>
      <c r="H3" s="13" t="s">
        <v>140</v>
      </c>
      <c r="I3" s="16" t="s">
        <v>141</v>
      </c>
      <c r="J3" s="17" t="s">
        <v>142</v>
      </c>
      <c r="K3" s="18" t="s">
        <v>143</v>
      </c>
      <c r="L3" s="13" t="s">
        <v>144</v>
      </c>
      <c r="M3" s="13" t="s">
        <v>186</v>
      </c>
      <c r="N3" s="13" t="s">
        <v>145</v>
      </c>
    </row>
    <row r="4" spans="1:14" ht="38.1" customHeight="1" x14ac:dyDescent="0.25">
      <c r="A4" s="19">
        <v>0</v>
      </c>
      <c r="B4" s="19"/>
      <c r="C4" s="20" t="s">
        <v>177</v>
      </c>
      <c r="D4" s="21" t="s">
        <v>178</v>
      </c>
      <c r="E4" s="21" t="s">
        <v>180</v>
      </c>
      <c r="F4" s="22" t="s">
        <v>179</v>
      </c>
      <c r="G4" s="23" t="s">
        <v>180</v>
      </c>
      <c r="H4" s="21" t="s">
        <v>180</v>
      </c>
      <c r="I4" s="24" t="s">
        <v>180</v>
      </c>
      <c r="J4" s="25" t="s">
        <v>180</v>
      </c>
      <c r="K4" s="26" t="s">
        <v>180</v>
      </c>
      <c r="L4" s="27"/>
      <c r="M4" s="27"/>
      <c r="N4" s="28" t="s">
        <v>185</v>
      </c>
    </row>
    <row r="5" spans="1:14" ht="54" x14ac:dyDescent="0.25">
      <c r="A5" s="19">
        <v>1</v>
      </c>
      <c r="B5" s="19" t="e" vm="1">
        <v>#VALUE!</v>
      </c>
      <c r="C5" s="20" t="s">
        <v>146</v>
      </c>
      <c r="D5" s="21" t="s">
        <v>181</v>
      </c>
      <c r="E5" s="21" t="s">
        <v>147</v>
      </c>
      <c r="F5" s="22" t="s">
        <v>184</v>
      </c>
      <c r="G5" s="23" t="s">
        <v>147</v>
      </c>
      <c r="H5" s="21" t="s">
        <v>148</v>
      </c>
      <c r="I5" s="24" t="s">
        <v>149</v>
      </c>
      <c r="J5" s="25" t="s">
        <v>150</v>
      </c>
      <c r="K5" s="26" t="s">
        <v>151</v>
      </c>
      <c r="L5" s="27">
        <v>2</v>
      </c>
      <c r="M5" s="21" t="s">
        <v>189</v>
      </c>
      <c r="N5" s="28"/>
    </row>
    <row r="6" spans="1:14" ht="81" x14ac:dyDescent="0.25">
      <c r="A6" s="19">
        <v>2</v>
      </c>
      <c r="B6" s="19" t="e" vm="2">
        <v>#VALUE!</v>
      </c>
      <c r="C6" s="20" t="s">
        <v>151</v>
      </c>
      <c r="D6" s="21" t="s">
        <v>152</v>
      </c>
      <c r="E6" s="21" t="s">
        <v>147</v>
      </c>
      <c r="F6" s="22" t="s">
        <v>153</v>
      </c>
      <c r="G6" s="23" t="s">
        <v>154</v>
      </c>
      <c r="H6" s="21" t="s">
        <v>155</v>
      </c>
      <c r="I6" s="24" t="s">
        <v>156</v>
      </c>
      <c r="J6" s="25" t="s">
        <v>157</v>
      </c>
      <c r="K6" s="26" t="s">
        <v>158</v>
      </c>
      <c r="L6" s="27">
        <v>3</v>
      </c>
      <c r="M6" s="21" t="s">
        <v>190</v>
      </c>
      <c r="N6" s="28" t="s">
        <v>159</v>
      </c>
    </row>
    <row r="7" spans="1:14" ht="54" x14ac:dyDescent="0.25">
      <c r="A7" s="19">
        <v>3</v>
      </c>
      <c r="B7" s="19" t="e" vm="3">
        <v>#VALUE!</v>
      </c>
      <c r="C7" s="20" t="s">
        <v>158</v>
      </c>
      <c r="D7" s="21" t="s">
        <v>160</v>
      </c>
      <c r="E7" s="21" t="s">
        <v>147</v>
      </c>
      <c r="F7" s="22" t="s">
        <v>161</v>
      </c>
      <c r="G7" s="23" t="s">
        <v>162</v>
      </c>
      <c r="H7" s="21" t="s">
        <v>163</v>
      </c>
      <c r="I7" s="24" t="s">
        <v>164</v>
      </c>
      <c r="J7" s="25" t="s">
        <v>165</v>
      </c>
      <c r="K7" s="26" t="s">
        <v>166</v>
      </c>
      <c r="L7" s="27">
        <v>2</v>
      </c>
      <c r="M7" s="21" t="s">
        <v>191</v>
      </c>
      <c r="N7" s="28" t="s">
        <v>167</v>
      </c>
    </row>
    <row r="8" spans="1:14" ht="94.5" x14ac:dyDescent="0.25">
      <c r="A8" s="19">
        <v>4</v>
      </c>
      <c r="B8" s="19" t="e" vm="4">
        <v>#VALUE!</v>
      </c>
      <c r="C8" s="20" t="s">
        <v>166</v>
      </c>
      <c r="D8" s="21" t="s">
        <v>168</v>
      </c>
      <c r="E8" s="21" t="s">
        <v>169</v>
      </c>
      <c r="F8" s="22" t="s">
        <v>170</v>
      </c>
      <c r="G8" s="23" t="s">
        <v>171</v>
      </c>
      <c r="H8" s="21" t="s">
        <v>172</v>
      </c>
      <c r="I8" s="24" t="s">
        <v>173</v>
      </c>
      <c r="J8" s="25" t="s">
        <v>174</v>
      </c>
      <c r="K8" s="26" t="s">
        <v>175</v>
      </c>
      <c r="L8" s="27">
        <v>4</v>
      </c>
      <c r="M8" s="21" t="s">
        <v>192</v>
      </c>
      <c r="N8" s="28" t="s">
        <v>176</v>
      </c>
    </row>
    <row r="9" spans="1:14" ht="189" x14ac:dyDescent="0.25">
      <c r="A9" s="19">
        <v>5</v>
      </c>
      <c r="B9" s="19" t="e" vm="5">
        <v>#VALUE!</v>
      </c>
      <c r="C9" s="20"/>
      <c r="D9" s="21"/>
      <c r="E9" s="21"/>
      <c r="F9" s="22"/>
      <c r="G9" s="23"/>
      <c r="H9" s="21"/>
      <c r="I9" s="24"/>
      <c r="J9" s="25"/>
      <c r="K9" s="26"/>
      <c r="L9" s="27"/>
      <c r="M9" s="21" t="s">
        <v>193</v>
      </c>
      <c r="N9" s="28"/>
    </row>
    <row r="10" spans="1:14" ht="108" x14ac:dyDescent="0.25">
      <c r="A10" s="19">
        <v>6</v>
      </c>
      <c r="B10" s="19" t="e" vm="6">
        <v>#VALUE!</v>
      </c>
      <c r="C10" s="20"/>
      <c r="D10" s="21"/>
      <c r="E10" s="21"/>
      <c r="F10" s="22"/>
      <c r="G10" s="23"/>
      <c r="H10" s="21"/>
      <c r="I10" s="24"/>
      <c r="J10" s="25"/>
      <c r="K10" s="26"/>
      <c r="L10" s="27"/>
      <c r="M10" s="21" t="s">
        <v>194</v>
      </c>
      <c r="N10" s="28"/>
    </row>
    <row r="11" spans="1:14" ht="135" x14ac:dyDescent="0.25">
      <c r="A11" s="19">
        <v>7</v>
      </c>
      <c r="B11" s="19" t="e" vm="7">
        <v>#VALUE!</v>
      </c>
      <c r="C11" s="20"/>
      <c r="D11" s="21"/>
      <c r="E11" s="21"/>
      <c r="F11" s="22"/>
      <c r="G11" s="23"/>
      <c r="H11" s="21"/>
      <c r="I11" s="24"/>
      <c r="J11" s="25"/>
      <c r="K11" s="26"/>
      <c r="L11" s="27"/>
      <c r="M11" s="21" t="s">
        <v>195</v>
      </c>
      <c r="N11" s="28"/>
    </row>
    <row r="12" spans="1:14" ht="54" x14ac:dyDescent="0.25">
      <c r="A12" s="19">
        <v>8</v>
      </c>
      <c r="B12" s="19" t="e" vm="8">
        <v>#VALUE!</v>
      </c>
      <c r="C12" s="20"/>
      <c r="D12" s="21"/>
      <c r="E12" s="21"/>
      <c r="F12" s="22"/>
      <c r="G12" s="23"/>
      <c r="H12" s="21"/>
      <c r="I12" s="24"/>
      <c r="J12" s="25"/>
      <c r="K12" s="26"/>
      <c r="L12" s="27"/>
      <c r="M12" s="21" t="s">
        <v>196</v>
      </c>
      <c r="N12" s="28"/>
    </row>
    <row r="13" spans="1:14" ht="81" x14ac:dyDescent="0.25">
      <c r="A13" s="19">
        <v>9</v>
      </c>
      <c r="B13" s="19" t="e" vm="9">
        <v>#VALUE!</v>
      </c>
      <c r="C13" s="20"/>
      <c r="D13" s="21"/>
      <c r="E13" s="21"/>
      <c r="F13" s="22"/>
      <c r="G13" s="23"/>
      <c r="H13" s="21"/>
      <c r="I13" s="24"/>
      <c r="J13" s="25"/>
      <c r="K13" s="26"/>
      <c r="L13" s="27"/>
      <c r="M13" s="21" t="s">
        <v>197</v>
      </c>
      <c r="N13" s="28"/>
    </row>
    <row r="14" spans="1:14" ht="54" x14ac:dyDescent="0.25">
      <c r="A14" s="19">
        <v>10</v>
      </c>
      <c r="B14" s="19" t="e" vm="10">
        <v>#VALUE!</v>
      </c>
      <c r="C14" s="20"/>
      <c r="D14" s="21"/>
      <c r="E14" s="21"/>
      <c r="F14" s="22"/>
      <c r="G14" s="23"/>
      <c r="H14" s="21"/>
      <c r="I14" s="24"/>
      <c r="J14" s="25"/>
      <c r="K14" s="26"/>
      <c r="L14" s="27"/>
      <c r="M14" s="21" t="s">
        <v>198</v>
      </c>
      <c r="N14" s="28"/>
    </row>
  </sheetData>
  <mergeCells count="1">
    <mergeCell ref="A1:N1"/>
  </mergeCells>
  <dataValidations count="1">
    <dataValidation type="list" allowBlank="1" sqref="L5:L9" xr:uid="{7DED192A-EA34-4354-885F-7C051375C938}">
      <formula1>"1,2,3,4,5"</formula1>
    </dataValidation>
  </dataValidations>
  <pageMargins left="0.75" right="0.75" top="1" bottom="1" header="0.5" footer="0.5"/>
  <headerFooter>
    <oddHeader>&amp;R&amp;"Aptos"&amp;12&amp;K000000 UNCLASSIFIED - NON 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B895D-374E-47E9-B67F-28D3C51CD256}">
  <dimension ref="A1"/>
  <sheetViews>
    <sheetView workbookViewId="0">
      <selection activeCell="E35" sqref="E35"/>
    </sheetView>
  </sheetViews>
  <sheetFormatPr defaultRowHeight="15" x14ac:dyDescent="0.25"/>
  <sheetData/>
  <pageMargins left="0.7" right="0.7" top="0.75" bottom="0.75" header="0.3" footer="0.3"/>
  <headerFooter>
    <oddHeader>&amp;R&amp;"Aptos"&amp;12&amp;K000000 UNCLASSIFIED - NON 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0E2E-9366-4C07-AD85-6CF609B51D36}">
  <dimension ref="A2:M20"/>
  <sheetViews>
    <sheetView workbookViewId="0">
      <selection activeCell="L17" sqref="L17"/>
    </sheetView>
  </sheetViews>
  <sheetFormatPr defaultRowHeight="15" x14ac:dyDescent="0.25"/>
  <sheetData>
    <row r="2" spans="1:13" x14ac:dyDescent="0.25">
      <c r="A2" t="s">
        <v>1</v>
      </c>
    </row>
    <row r="3" spans="1:13" x14ac:dyDescent="0.25">
      <c r="A3" t="s">
        <v>2</v>
      </c>
      <c r="B3">
        <v>15</v>
      </c>
    </row>
    <row r="4" spans="1:13" x14ac:dyDescent="0.25">
      <c r="A4" t="s">
        <v>3</v>
      </c>
      <c r="B4">
        <v>2.6</v>
      </c>
    </row>
    <row r="7" spans="1:13" x14ac:dyDescent="0.25">
      <c r="A7" t="s">
        <v>115</v>
      </c>
      <c r="C7" s="11" t="s">
        <v>120</v>
      </c>
    </row>
    <row r="8" spans="1:13" x14ac:dyDescent="0.25">
      <c r="B8" t="s">
        <v>116</v>
      </c>
      <c r="C8">
        <v>3</v>
      </c>
      <c r="D8" t="s">
        <v>117</v>
      </c>
    </row>
    <row r="9" spans="1:13" x14ac:dyDescent="0.25">
      <c r="B9" t="s">
        <v>118</v>
      </c>
      <c r="C9">
        <v>3.4</v>
      </c>
      <c r="D9" t="s">
        <v>117</v>
      </c>
    </row>
    <row r="10" spans="1:13" x14ac:dyDescent="0.25">
      <c r="B10" t="s">
        <v>119</v>
      </c>
      <c r="C10">
        <v>16.7</v>
      </c>
      <c r="D10" t="s">
        <v>117</v>
      </c>
    </row>
    <row r="12" spans="1:13" x14ac:dyDescent="0.25">
      <c r="K12" t="s">
        <v>125</v>
      </c>
    </row>
    <row r="13" spans="1:13" x14ac:dyDescent="0.25">
      <c r="A13" t="s">
        <v>121</v>
      </c>
      <c r="B13" t="s">
        <v>122</v>
      </c>
      <c r="C13">
        <v>13.9</v>
      </c>
      <c r="D13" t="s">
        <v>124</v>
      </c>
      <c r="E13">
        <f>C13-(C8+C10)/10</f>
        <v>11.93</v>
      </c>
      <c r="F13" t="s">
        <v>124</v>
      </c>
      <c r="G13">
        <f>E13*3</f>
        <v>35.79</v>
      </c>
      <c r="I13">
        <v>31</v>
      </c>
      <c r="J13" t="s">
        <v>124</v>
      </c>
      <c r="K13">
        <v>2</v>
      </c>
      <c r="L13">
        <f>C13*K13</f>
        <v>27.8</v>
      </c>
      <c r="M13">
        <f>L13-(C8+C10)/10</f>
        <v>25.830000000000002</v>
      </c>
    </row>
    <row r="14" spans="1:13" x14ac:dyDescent="0.25">
      <c r="B14" t="s">
        <v>123</v>
      </c>
      <c r="C14">
        <v>21.3</v>
      </c>
      <c r="D14" t="s">
        <v>124</v>
      </c>
      <c r="E14">
        <f>C14-2*C9/10</f>
        <v>20.62</v>
      </c>
      <c r="F14" t="s">
        <v>124</v>
      </c>
      <c r="G14">
        <f>E14*3</f>
        <v>61.86</v>
      </c>
      <c r="I14">
        <v>20</v>
      </c>
      <c r="J14" t="s">
        <v>124</v>
      </c>
      <c r="K14">
        <v>2</v>
      </c>
      <c r="L14">
        <f>C14*K14</f>
        <v>42.6</v>
      </c>
      <c r="M14">
        <f>L14-2*C9/10</f>
        <v>41.92</v>
      </c>
    </row>
    <row r="16" spans="1:13" x14ac:dyDescent="0.25">
      <c r="C16">
        <f>C14-C9/10</f>
        <v>20.96</v>
      </c>
      <c r="E16">
        <f>2*C14</f>
        <v>42.6</v>
      </c>
    </row>
    <row r="17" spans="1:4" x14ac:dyDescent="0.25">
      <c r="C17">
        <f>C13-(C8+C10)/10</f>
        <v>11.93</v>
      </c>
    </row>
    <row r="19" spans="1:4" x14ac:dyDescent="0.25">
      <c r="A19" t="s">
        <v>188</v>
      </c>
      <c r="B19">
        <v>17.05</v>
      </c>
      <c r="C19" t="s">
        <v>124</v>
      </c>
      <c r="D19" s="29">
        <f>B19/3</f>
        <v>5.6833333333333336</v>
      </c>
    </row>
    <row r="20" spans="1:4" x14ac:dyDescent="0.25">
      <c r="B20">
        <v>31.79</v>
      </c>
      <c r="C20" t="s">
        <v>124</v>
      </c>
      <c r="D20" s="29">
        <f>B20/3</f>
        <v>10.596666666666666</v>
      </c>
    </row>
  </sheetData>
  <hyperlinks>
    <hyperlink ref="C7" r:id="rId1" xr:uid="{9720C1EA-3CA5-4BDB-9AD5-468174E727DA}"/>
  </hyperlinks>
  <pageMargins left="0.7" right="0.7" top="0.75" bottom="0.75" header="0.3" footer="0.3"/>
  <headerFooter>
    <oddHeader>&amp;R&amp;"Aptos"&amp;12&amp;K000000 UNCLASSIFIED - NON 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sheetPr>
  <dimension ref="A1:AU39"/>
  <sheetViews>
    <sheetView topLeftCell="Q2" workbookViewId="0">
      <selection activeCell="AS40" sqref="AS39:AS40"/>
    </sheetView>
  </sheetViews>
  <sheetFormatPr defaultRowHeight="15" x14ac:dyDescent="0.25"/>
  <cols>
    <col min="1" max="1" width="12.42578125" bestFit="1" customWidth="1"/>
    <col min="2" max="16" width="3.28515625" customWidth="1"/>
    <col min="18" max="18" width="12.42578125" hidden="1" customWidth="1"/>
    <col min="19" max="38" width="3.28515625" hidden="1" customWidth="1"/>
    <col min="45" max="45" width="16.42578125" customWidth="1"/>
    <col min="46" max="46" width="14.85546875" customWidth="1"/>
    <col min="47" max="47" width="18.5703125" customWidth="1"/>
  </cols>
  <sheetData>
    <row r="1" spans="1:47" x14ac:dyDescent="0.25">
      <c r="A1" t="s">
        <v>0</v>
      </c>
      <c r="B1" s="1">
        <v>1</v>
      </c>
      <c r="C1" s="1">
        <v>2</v>
      </c>
      <c r="D1" s="1">
        <v>3</v>
      </c>
      <c r="E1" s="1">
        <v>4</v>
      </c>
      <c r="F1" s="1">
        <v>5</v>
      </c>
      <c r="G1" s="1">
        <v>6</v>
      </c>
      <c r="H1" s="1">
        <v>7</v>
      </c>
      <c r="I1" s="1">
        <v>8</v>
      </c>
      <c r="J1" s="1">
        <v>9</v>
      </c>
      <c r="K1" s="1">
        <v>10</v>
      </c>
      <c r="L1" s="1">
        <v>11</v>
      </c>
      <c r="M1" s="1">
        <v>12</v>
      </c>
      <c r="N1" s="1">
        <v>13</v>
      </c>
      <c r="O1" s="1">
        <v>14</v>
      </c>
      <c r="P1" s="1">
        <v>15</v>
      </c>
      <c r="R1" t="s">
        <v>0</v>
      </c>
      <c r="S1" s="1">
        <v>1</v>
      </c>
      <c r="T1" s="1">
        <v>2</v>
      </c>
      <c r="U1" s="1">
        <v>3</v>
      </c>
      <c r="V1" s="1">
        <v>4</v>
      </c>
      <c r="W1" s="1">
        <v>5</v>
      </c>
      <c r="X1" s="1">
        <v>6</v>
      </c>
      <c r="Y1" s="1">
        <v>7</v>
      </c>
      <c r="Z1" s="1">
        <v>8</v>
      </c>
      <c r="AA1" s="1">
        <v>9</v>
      </c>
      <c r="AB1" s="1">
        <v>10</v>
      </c>
      <c r="AC1" s="1">
        <v>11</v>
      </c>
      <c r="AD1" s="1">
        <v>12</v>
      </c>
      <c r="AE1" s="1">
        <v>13</v>
      </c>
      <c r="AF1" s="1">
        <v>14</v>
      </c>
      <c r="AG1" s="1">
        <v>15</v>
      </c>
      <c r="AH1" s="1">
        <v>16</v>
      </c>
      <c r="AI1" s="1">
        <v>17</v>
      </c>
      <c r="AJ1" s="1">
        <v>18</v>
      </c>
      <c r="AK1" s="1">
        <v>19</v>
      </c>
      <c r="AL1" s="1">
        <v>20</v>
      </c>
      <c r="AN1" t="s">
        <v>4</v>
      </c>
      <c r="AO1" s="1">
        <v>1</v>
      </c>
    </row>
    <row r="2" spans="1:47" x14ac:dyDescent="0.25">
      <c r="A2" s="1">
        <v>1</v>
      </c>
      <c r="B2" s="1" t="s">
        <v>28</v>
      </c>
      <c r="C2" s="1" t="s">
        <v>29</v>
      </c>
      <c r="D2" s="1" t="s">
        <v>30</v>
      </c>
      <c r="E2" s="1" t="s">
        <v>30</v>
      </c>
      <c r="F2" s="1" t="s">
        <v>31</v>
      </c>
      <c r="G2" s="1" t="s">
        <v>32</v>
      </c>
      <c r="H2" s="1" t="s">
        <v>33</v>
      </c>
      <c r="I2" s="1" t="s">
        <v>34</v>
      </c>
      <c r="J2" s="1" t="s">
        <v>35</v>
      </c>
      <c r="K2" s="1" t="s">
        <v>36</v>
      </c>
      <c r="L2" s="1" t="s">
        <v>37</v>
      </c>
      <c r="M2" s="1" t="s">
        <v>38</v>
      </c>
      <c r="N2" s="1" t="s">
        <v>39</v>
      </c>
      <c r="O2" s="1" t="s">
        <v>40</v>
      </c>
      <c r="P2" s="1" t="s">
        <v>41</v>
      </c>
      <c r="R2" s="1">
        <v>1</v>
      </c>
      <c r="S2" s="1">
        <f ca="1">MAX(ROUND(RAND()*26,0),1)</f>
        <v>8</v>
      </c>
      <c r="T2" s="1">
        <f t="shared" ref="T2:AL15" ca="1" si="0">MAX(ROUND(RAND()*26,0),1)</f>
        <v>19</v>
      </c>
      <c r="U2" s="1">
        <f t="shared" ca="1" si="0"/>
        <v>1</v>
      </c>
      <c r="V2" s="1">
        <f t="shared" ca="1" si="0"/>
        <v>17</v>
      </c>
      <c r="W2" s="1">
        <f t="shared" ca="1" si="0"/>
        <v>1</v>
      </c>
      <c r="X2" s="1">
        <f t="shared" ca="1" si="0"/>
        <v>9</v>
      </c>
      <c r="Y2" s="1">
        <f t="shared" ca="1" si="0"/>
        <v>22</v>
      </c>
      <c r="Z2" s="1">
        <f t="shared" ca="1" si="0"/>
        <v>16</v>
      </c>
      <c r="AA2" s="1">
        <f t="shared" ca="1" si="0"/>
        <v>19</v>
      </c>
      <c r="AB2" s="1">
        <f t="shared" ca="1" si="0"/>
        <v>9</v>
      </c>
      <c r="AC2" s="1">
        <f t="shared" ca="1" si="0"/>
        <v>22</v>
      </c>
      <c r="AD2" s="1">
        <f t="shared" ca="1" si="0"/>
        <v>8</v>
      </c>
      <c r="AE2" s="1">
        <f t="shared" ca="1" si="0"/>
        <v>11</v>
      </c>
      <c r="AF2" s="1">
        <f t="shared" ca="1" si="0"/>
        <v>20</v>
      </c>
      <c r="AG2" s="1">
        <f t="shared" ca="1" si="0"/>
        <v>17</v>
      </c>
      <c r="AH2" s="1">
        <f t="shared" ca="1" si="0"/>
        <v>19</v>
      </c>
      <c r="AI2" s="1">
        <f t="shared" ca="1" si="0"/>
        <v>7</v>
      </c>
      <c r="AJ2" s="1">
        <f t="shared" ca="1" si="0"/>
        <v>15</v>
      </c>
      <c r="AK2" s="1">
        <f t="shared" ca="1" si="0"/>
        <v>11</v>
      </c>
      <c r="AL2" s="1">
        <f t="shared" ca="1" si="0"/>
        <v>10</v>
      </c>
      <c r="AN2" t="s">
        <v>5</v>
      </c>
      <c r="AO2" s="1">
        <v>2</v>
      </c>
      <c r="AQ2" t="str">
        <f>PROPER(Q2)</f>
        <v/>
      </c>
    </row>
    <row r="3" spans="1:47" x14ac:dyDescent="0.25">
      <c r="A3" s="1">
        <v>2</v>
      </c>
      <c r="B3" s="1" t="s">
        <v>35</v>
      </c>
      <c r="C3" s="1" t="s">
        <v>51</v>
      </c>
      <c r="D3" s="1" t="s">
        <v>33</v>
      </c>
      <c r="E3" s="1" t="s">
        <v>35</v>
      </c>
      <c r="F3" s="2" t="s">
        <v>33</v>
      </c>
      <c r="G3" s="2" t="s">
        <v>51</v>
      </c>
      <c r="H3" s="2" t="s">
        <v>43</v>
      </c>
      <c r="I3" s="2" t="s">
        <v>30</v>
      </c>
      <c r="J3" s="2" t="s">
        <v>37</v>
      </c>
      <c r="K3" s="2" t="s">
        <v>46</v>
      </c>
      <c r="L3" s="1" t="s">
        <v>32</v>
      </c>
      <c r="M3" s="1" t="s">
        <v>32</v>
      </c>
      <c r="N3" s="1" t="s">
        <v>32</v>
      </c>
      <c r="O3" s="1" t="s">
        <v>38</v>
      </c>
      <c r="P3" s="1" t="s">
        <v>36</v>
      </c>
      <c r="R3" s="1">
        <v>2</v>
      </c>
      <c r="S3" s="1">
        <f t="shared" ref="S3:AH16" ca="1" si="1">MAX(ROUND(RAND()*26,0),1)</f>
        <v>20</v>
      </c>
      <c r="T3" s="1">
        <f t="shared" ca="1" si="0"/>
        <v>23</v>
      </c>
      <c r="U3" s="1">
        <f t="shared" ca="1" si="0"/>
        <v>24</v>
      </c>
      <c r="V3" s="1">
        <f t="shared" ca="1" si="0"/>
        <v>14</v>
      </c>
      <c r="W3" s="1">
        <f t="shared" ca="1" si="0"/>
        <v>1</v>
      </c>
      <c r="X3" s="1">
        <f t="shared" ca="1" si="0"/>
        <v>24</v>
      </c>
      <c r="Y3" s="1">
        <f t="shared" ca="1" si="0"/>
        <v>22</v>
      </c>
      <c r="Z3" s="1">
        <f t="shared" ca="1" si="0"/>
        <v>13</v>
      </c>
      <c r="AA3" s="1">
        <f t="shared" ca="1" si="0"/>
        <v>24</v>
      </c>
      <c r="AB3" s="1">
        <f t="shared" ca="1" si="0"/>
        <v>9</v>
      </c>
      <c r="AC3" s="1">
        <f t="shared" ca="1" si="0"/>
        <v>20</v>
      </c>
      <c r="AD3" s="1">
        <f t="shared" ca="1" si="0"/>
        <v>22</v>
      </c>
      <c r="AE3" s="1">
        <f t="shared" ca="1" si="0"/>
        <v>11</v>
      </c>
      <c r="AF3" s="1">
        <f t="shared" ca="1" si="0"/>
        <v>4</v>
      </c>
      <c r="AG3" s="1">
        <f t="shared" ca="1" si="0"/>
        <v>8</v>
      </c>
      <c r="AH3" s="1">
        <f t="shared" ca="1" si="0"/>
        <v>22</v>
      </c>
      <c r="AI3" s="1">
        <f t="shared" ca="1" si="0"/>
        <v>3</v>
      </c>
      <c r="AJ3" s="1">
        <f t="shared" ca="1" si="0"/>
        <v>11</v>
      </c>
      <c r="AK3" s="1">
        <f t="shared" ca="1" si="0"/>
        <v>1</v>
      </c>
      <c r="AL3" s="1">
        <f t="shared" ca="1" si="0"/>
        <v>2</v>
      </c>
      <c r="AN3" t="s">
        <v>6</v>
      </c>
      <c r="AO3" s="1">
        <v>3</v>
      </c>
      <c r="AR3" t="s">
        <v>111</v>
      </c>
      <c r="AS3" s="7">
        <v>401926.91000000003</v>
      </c>
    </row>
    <row r="4" spans="1:47" x14ac:dyDescent="0.25">
      <c r="A4" s="1">
        <v>3</v>
      </c>
      <c r="B4" s="1" t="s">
        <v>43</v>
      </c>
      <c r="C4" s="1" t="s">
        <v>34</v>
      </c>
      <c r="D4" s="1" t="s">
        <v>36</v>
      </c>
      <c r="E4" s="1" t="s">
        <v>46</v>
      </c>
      <c r="F4" s="1" t="s">
        <v>38</v>
      </c>
      <c r="G4" s="1" t="s">
        <v>44</v>
      </c>
      <c r="H4" s="1" t="s">
        <v>33</v>
      </c>
      <c r="I4" s="1" t="s">
        <v>35</v>
      </c>
      <c r="J4" s="2" t="s">
        <v>38</v>
      </c>
      <c r="K4" s="1" t="s">
        <v>48</v>
      </c>
      <c r="L4" s="1" t="s">
        <v>30</v>
      </c>
      <c r="M4" s="1" t="s">
        <v>38</v>
      </c>
      <c r="N4" s="1" t="s">
        <v>40</v>
      </c>
      <c r="O4" s="1" t="s">
        <v>30</v>
      </c>
      <c r="P4" s="1" t="s">
        <v>34</v>
      </c>
      <c r="R4" s="1">
        <v>3</v>
      </c>
      <c r="S4" s="1">
        <f t="shared" ca="1" si="1"/>
        <v>5</v>
      </c>
      <c r="T4" s="1">
        <f t="shared" ca="1" si="0"/>
        <v>26</v>
      </c>
      <c r="U4" s="1">
        <f t="shared" ca="1" si="0"/>
        <v>24</v>
      </c>
      <c r="V4" s="1">
        <f t="shared" ca="1" si="0"/>
        <v>6</v>
      </c>
      <c r="W4" s="1">
        <f t="shared" ca="1" si="0"/>
        <v>7</v>
      </c>
      <c r="X4" s="1">
        <f t="shared" ca="1" si="0"/>
        <v>12</v>
      </c>
      <c r="Y4" s="1">
        <f t="shared" ca="1" si="0"/>
        <v>2</v>
      </c>
      <c r="Z4" s="1">
        <f t="shared" ca="1" si="0"/>
        <v>25</v>
      </c>
      <c r="AA4" s="1">
        <f t="shared" ca="1" si="0"/>
        <v>8</v>
      </c>
      <c r="AB4" s="1">
        <f t="shared" ca="1" si="0"/>
        <v>26</v>
      </c>
      <c r="AC4" s="1">
        <f t="shared" ca="1" si="0"/>
        <v>14</v>
      </c>
      <c r="AD4" s="1">
        <f t="shared" ca="1" si="0"/>
        <v>5</v>
      </c>
      <c r="AE4" s="1">
        <f t="shared" ca="1" si="0"/>
        <v>23</v>
      </c>
      <c r="AF4" s="1">
        <f t="shared" ca="1" si="0"/>
        <v>11</v>
      </c>
      <c r="AG4" s="1">
        <f t="shared" ca="1" si="0"/>
        <v>22</v>
      </c>
      <c r="AH4" s="1">
        <f t="shared" ca="1" si="0"/>
        <v>18</v>
      </c>
      <c r="AI4" s="1">
        <f t="shared" ca="1" si="0"/>
        <v>11</v>
      </c>
      <c r="AJ4" s="1">
        <f t="shared" ca="1" si="0"/>
        <v>9</v>
      </c>
      <c r="AK4" s="1">
        <f t="shared" ca="1" si="0"/>
        <v>13</v>
      </c>
      <c r="AL4" s="1">
        <f t="shared" ca="1" si="0"/>
        <v>11</v>
      </c>
      <c r="AN4" t="s">
        <v>7</v>
      </c>
      <c r="AO4" s="1">
        <v>4</v>
      </c>
      <c r="AR4" t="s">
        <v>112</v>
      </c>
      <c r="AS4" s="7">
        <v>7.7</v>
      </c>
      <c r="AT4" s="9">
        <f>AS4^2</f>
        <v>59.290000000000006</v>
      </c>
    </row>
    <row r="5" spans="1:47" x14ac:dyDescent="0.25">
      <c r="A5" s="1">
        <v>4</v>
      </c>
      <c r="B5" s="1" t="s">
        <v>36</v>
      </c>
      <c r="C5" s="1" t="s">
        <v>41</v>
      </c>
      <c r="D5" s="3" t="s">
        <v>39</v>
      </c>
      <c r="E5" s="1" t="s">
        <v>40</v>
      </c>
      <c r="F5" s="1" t="s">
        <v>48</v>
      </c>
      <c r="G5" s="1" t="s">
        <v>33</v>
      </c>
      <c r="H5" s="1" t="s">
        <v>29</v>
      </c>
      <c r="I5" s="2" t="s">
        <v>32</v>
      </c>
      <c r="J5" s="1" t="s">
        <v>44</v>
      </c>
      <c r="K5" s="1" t="s">
        <v>50</v>
      </c>
      <c r="L5" s="1" t="s">
        <v>28</v>
      </c>
      <c r="M5" s="1" t="s">
        <v>35</v>
      </c>
      <c r="N5" s="1" t="s">
        <v>41</v>
      </c>
      <c r="O5" s="1" t="s">
        <v>34</v>
      </c>
      <c r="P5" s="1" t="s">
        <v>46</v>
      </c>
      <c r="R5" s="1">
        <v>4</v>
      </c>
      <c r="S5" s="1">
        <f t="shared" ca="1" si="1"/>
        <v>22</v>
      </c>
      <c r="T5" s="1">
        <f t="shared" ca="1" si="0"/>
        <v>6</v>
      </c>
      <c r="U5" s="1">
        <f t="shared" ca="1" si="0"/>
        <v>12</v>
      </c>
      <c r="V5" s="1">
        <f t="shared" ca="1" si="0"/>
        <v>15</v>
      </c>
      <c r="W5" s="1">
        <f t="shared" ca="1" si="0"/>
        <v>22</v>
      </c>
      <c r="X5" s="1">
        <f t="shared" ca="1" si="0"/>
        <v>20</v>
      </c>
      <c r="Y5" s="1">
        <f t="shared" ca="1" si="0"/>
        <v>6</v>
      </c>
      <c r="Z5" s="1">
        <f t="shared" ca="1" si="0"/>
        <v>8</v>
      </c>
      <c r="AA5" s="1">
        <f t="shared" ca="1" si="0"/>
        <v>25</v>
      </c>
      <c r="AB5" s="1">
        <f t="shared" ca="1" si="0"/>
        <v>18</v>
      </c>
      <c r="AC5" s="1">
        <f t="shared" ca="1" si="0"/>
        <v>1</v>
      </c>
      <c r="AD5" s="1">
        <f t="shared" ca="1" si="0"/>
        <v>15</v>
      </c>
      <c r="AE5" s="1">
        <f t="shared" ca="1" si="0"/>
        <v>9</v>
      </c>
      <c r="AF5" s="1">
        <f t="shared" ca="1" si="0"/>
        <v>25</v>
      </c>
      <c r="AG5" s="1">
        <f t="shared" ca="1" si="0"/>
        <v>3</v>
      </c>
      <c r="AH5" s="1">
        <f t="shared" ca="1" si="0"/>
        <v>23</v>
      </c>
      <c r="AI5" s="1">
        <f t="shared" ca="1" si="0"/>
        <v>17</v>
      </c>
      <c r="AJ5" s="1">
        <f t="shared" ca="1" si="0"/>
        <v>20</v>
      </c>
      <c r="AK5" s="1">
        <f t="shared" ca="1" si="0"/>
        <v>18</v>
      </c>
      <c r="AL5" s="1">
        <f t="shared" ca="1" si="0"/>
        <v>24</v>
      </c>
      <c r="AN5" t="s">
        <v>8</v>
      </c>
      <c r="AO5" s="1">
        <v>5</v>
      </c>
      <c r="AR5" t="s">
        <v>113</v>
      </c>
      <c r="AS5" s="7">
        <v>6371</v>
      </c>
      <c r="AU5" s="8">
        <f>AT7*AT4</f>
        <v>401926.91000000003</v>
      </c>
    </row>
    <row r="6" spans="1:47" x14ac:dyDescent="0.25">
      <c r="A6" s="1">
        <v>5</v>
      </c>
      <c r="B6" s="1" t="s">
        <v>41</v>
      </c>
      <c r="C6" s="3" t="s">
        <v>30</v>
      </c>
      <c r="D6" s="3" t="s">
        <v>51</v>
      </c>
      <c r="E6" s="3" t="s">
        <v>36</v>
      </c>
      <c r="F6" s="1" t="s">
        <v>44</v>
      </c>
      <c r="G6" s="1" t="s">
        <v>35</v>
      </c>
      <c r="H6" s="2" t="s">
        <v>44</v>
      </c>
      <c r="I6" s="1" t="s">
        <v>33</v>
      </c>
      <c r="J6" s="1" t="s">
        <v>40</v>
      </c>
      <c r="K6" s="1" t="s">
        <v>51</v>
      </c>
      <c r="L6" s="2" t="s">
        <v>50</v>
      </c>
      <c r="M6" s="2" t="s">
        <v>38</v>
      </c>
      <c r="N6" s="2" t="s">
        <v>31</v>
      </c>
      <c r="O6" s="2" t="s">
        <v>41</v>
      </c>
      <c r="P6" s="1" t="s">
        <v>50</v>
      </c>
      <c r="R6" s="1">
        <v>5</v>
      </c>
      <c r="S6" s="1">
        <f t="shared" ca="1" si="1"/>
        <v>18</v>
      </c>
      <c r="T6" s="1">
        <f t="shared" ca="1" si="0"/>
        <v>16</v>
      </c>
      <c r="U6" s="1">
        <f t="shared" ca="1" si="0"/>
        <v>24</v>
      </c>
      <c r="V6" s="1">
        <f t="shared" ca="1" si="0"/>
        <v>12</v>
      </c>
      <c r="W6" s="1">
        <f t="shared" ca="1" si="0"/>
        <v>9</v>
      </c>
      <c r="X6" s="1">
        <f t="shared" ca="1" si="0"/>
        <v>13</v>
      </c>
      <c r="Y6" s="1">
        <f t="shared" ca="1" si="0"/>
        <v>9</v>
      </c>
      <c r="Z6" s="1">
        <f t="shared" ca="1" si="0"/>
        <v>25</v>
      </c>
      <c r="AA6" s="1">
        <f t="shared" ca="1" si="0"/>
        <v>16</v>
      </c>
      <c r="AB6" s="1">
        <f t="shared" ca="1" si="0"/>
        <v>24</v>
      </c>
      <c r="AC6" s="1">
        <f t="shared" ca="1" si="0"/>
        <v>2</v>
      </c>
      <c r="AD6" s="1">
        <f t="shared" ca="1" si="0"/>
        <v>9</v>
      </c>
      <c r="AE6" s="1">
        <f t="shared" ca="1" si="0"/>
        <v>21</v>
      </c>
      <c r="AF6" s="1">
        <f t="shared" ca="1" si="0"/>
        <v>5</v>
      </c>
      <c r="AG6" s="1">
        <f t="shared" ca="1" si="0"/>
        <v>18</v>
      </c>
      <c r="AH6" s="1">
        <f t="shared" ca="1" si="0"/>
        <v>1</v>
      </c>
      <c r="AI6" s="1">
        <f t="shared" ca="1" si="0"/>
        <v>1</v>
      </c>
      <c r="AJ6" s="1">
        <f t="shared" ca="1" si="0"/>
        <v>7</v>
      </c>
      <c r="AK6" s="1">
        <f t="shared" ca="1" si="0"/>
        <v>21</v>
      </c>
      <c r="AL6" s="1">
        <f t="shared" ca="1" si="0"/>
        <v>5</v>
      </c>
      <c r="AN6" t="s">
        <v>9</v>
      </c>
      <c r="AO6" s="1">
        <v>6</v>
      </c>
      <c r="AS6" s="7"/>
    </row>
    <row r="7" spans="1:47" x14ac:dyDescent="0.25">
      <c r="A7" s="1">
        <v>6</v>
      </c>
      <c r="B7" s="1" t="s">
        <v>52</v>
      </c>
      <c r="C7" s="1" t="s">
        <v>39</v>
      </c>
      <c r="D7" s="3" t="s">
        <v>30</v>
      </c>
      <c r="E7" s="1" t="s">
        <v>48</v>
      </c>
      <c r="F7" s="1" t="s">
        <v>31</v>
      </c>
      <c r="G7" s="2" t="s">
        <v>40</v>
      </c>
      <c r="H7" s="1" t="s">
        <v>29</v>
      </c>
      <c r="I7" s="1" t="s">
        <v>32</v>
      </c>
      <c r="J7" s="1" t="s">
        <v>42</v>
      </c>
      <c r="K7" s="1" t="s">
        <v>35</v>
      </c>
      <c r="L7" s="1" t="s">
        <v>42</v>
      </c>
      <c r="M7" s="1" t="s">
        <v>32</v>
      </c>
      <c r="N7" s="1" t="s">
        <v>36</v>
      </c>
      <c r="O7" s="2" t="s">
        <v>31</v>
      </c>
      <c r="P7" s="1" t="s">
        <v>51</v>
      </c>
      <c r="R7" s="1">
        <v>6</v>
      </c>
      <c r="S7" s="1">
        <f t="shared" ca="1" si="1"/>
        <v>22</v>
      </c>
      <c r="T7" s="1">
        <f t="shared" ca="1" si="0"/>
        <v>25</v>
      </c>
      <c r="U7" s="1">
        <f t="shared" ca="1" si="0"/>
        <v>21</v>
      </c>
      <c r="V7" s="1">
        <f t="shared" ca="1" si="0"/>
        <v>4</v>
      </c>
      <c r="W7" s="1">
        <f t="shared" ca="1" si="0"/>
        <v>5</v>
      </c>
      <c r="X7" s="1">
        <f t="shared" ca="1" si="0"/>
        <v>17</v>
      </c>
      <c r="Y7" s="1">
        <f t="shared" ca="1" si="0"/>
        <v>11</v>
      </c>
      <c r="Z7" s="1">
        <f t="shared" ca="1" si="0"/>
        <v>3</v>
      </c>
      <c r="AA7" s="1">
        <f t="shared" ca="1" si="0"/>
        <v>6</v>
      </c>
      <c r="AB7" s="1">
        <f t="shared" ca="1" si="0"/>
        <v>14</v>
      </c>
      <c r="AC7" s="1">
        <f t="shared" ca="1" si="0"/>
        <v>24</v>
      </c>
      <c r="AD7" s="1">
        <f t="shared" ca="1" si="0"/>
        <v>4</v>
      </c>
      <c r="AE7" s="1">
        <f t="shared" ca="1" si="0"/>
        <v>24</v>
      </c>
      <c r="AF7" s="1">
        <f t="shared" ca="1" si="0"/>
        <v>1</v>
      </c>
      <c r="AG7" s="1">
        <f t="shared" ca="1" si="0"/>
        <v>16</v>
      </c>
      <c r="AH7" s="1">
        <f t="shared" ca="1" si="0"/>
        <v>13</v>
      </c>
      <c r="AI7" s="1">
        <f t="shared" ca="1" si="0"/>
        <v>21</v>
      </c>
      <c r="AJ7" s="1">
        <f t="shared" ca="1" si="0"/>
        <v>16</v>
      </c>
      <c r="AK7" s="1">
        <f t="shared" ca="1" si="0"/>
        <v>20</v>
      </c>
      <c r="AL7" s="1">
        <f t="shared" ca="1" si="0"/>
        <v>8</v>
      </c>
      <c r="AN7" t="s">
        <v>10</v>
      </c>
      <c r="AO7" s="1">
        <v>7</v>
      </c>
      <c r="AS7" s="7">
        <f>(AS3/(AS4^2))</f>
        <v>6779</v>
      </c>
      <c r="AT7" s="7">
        <f>AS5+408</f>
        <v>6779</v>
      </c>
    </row>
    <row r="8" spans="1:47" x14ac:dyDescent="0.25">
      <c r="A8" s="1">
        <v>7</v>
      </c>
      <c r="B8" s="1" t="s">
        <v>49</v>
      </c>
      <c r="C8" s="1" t="s">
        <v>37</v>
      </c>
      <c r="D8" s="3" t="s">
        <v>30</v>
      </c>
      <c r="E8" s="1" t="s">
        <v>38</v>
      </c>
      <c r="F8" s="2" t="s">
        <v>52</v>
      </c>
      <c r="G8" s="1" t="s">
        <v>39</v>
      </c>
      <c r="H8" s="1" t="s">
        <v>35</v>
      </c>
      <c r="I8" s="1" t="s">
        <v>36</v>
      </c>
      <c r="J8" s="1" t="s">
        <v>48</v>
      </c>
      <c r="K8" s="1" t="s">
        <v>39</v>
      </c>
      <c r="L8" s="1" t="s">
        <v>28</v>
      </c>
      <c r="M8" s="1" t="s">
        <v>38</v>
      </c>
      <c r="N8" s="1" t="s">
        <v>43</v>
      </c>
      <c r="O8" s="2" t="s">
        <v>38</v>
      </c>
      <c r="P8" s="1" t="s">
        <v>36</v>
      </c>
      <c r="R8" s="1">
        <v>7</v>
      </c>
      <c r="S8" s="1">
        <f t="shared" ca="1" si="1"/>
        <v>11</v>
      </c>
      <c r="T8" s="1">
        <f t="shared" ca="1" si="0"/>
        <v>20</v>
      </c>
      <c r="U8" s="1">
        <f t="shared" ca="1" si="0"/>
        <v>2</v>
      </c>
      <c r="V8" s="1">
        <f t="shared" ca="1" si="0"/>
        <v>16</v>
      </c>
      <c r="W8" s="1">
        <f t="shared" ca="1" si="0"/>
        <v>22</v>
      </c>
      <c r="X8" s="1">
        <f t="shared" ca="1" si="0"/>
        <v>12</v>
      </c>
      <c r="Y8" s="1">
        <f t="shared" ca="1" si="0"/>
        <v>9</v>
      </c>
      <c r="Z8" s="1">
        <f t="shared" ca="1" si="0"/>
        <v>2</v>
      </c>
      <c r="AA8" s="1">
        <f t="shared" ca="1" si="0"/>
        <v>9</v>
      </c>
      <c r="AB8" s="1">
        <f t="shared" ca="1" si="0"/>
        <v>1</v>
      </c>
      <c r="AC8" s="1">
        <f t="shared" ca="1" si="0"/>
        <v>16</v>
      </c>
      <c r="AD8" s="1">
        <f t="shared" ca="1" si="0"/>
        <v>9</v>
      </c>
      <c r="AE8" s="1">
        <f t="shared" ca="1" si="0"/>
        <v>26</v>
      </c>
      <c r="AF8" s="1">
        <f t="shared" ca="1" si="0"/>
        <v>25</v>
      </c>
      <c r="AG8" s="1">
        <f t="shared" ca="1" si="0"/>
        <v>18</v>
      </c>
      <c r="AH8" s="1">
        <f t="shared" ca="1" si="0"/>
        <v>21</v>
      </c>
      <c r="AI8" s="1">
        <f t="shared" ca="1" si="0"/>
        <v>25</v>
      </c>
      <c r="AJ8" s="1">
        <f t="shared" ca="1" si="0"/>
        <v>21</v>
      </c>
      <c r="AK8" s="1">
        <f t="shared" ca="1" si="0"/>
        <v>1</v>
      </c>
      <c r="AL8" s="1">
        <f t="shared" ca="1" si="0"/>
        <v>19</v>
      </c>
      <c r="AN8" t="s">
        <v>2</v>
      </c>
      <c r="AO8" s="1">
        <v>8</v>
      </c>
      <c r="AS8" s="7"/>
    </row>
    <row r="9" spans="1:47" x14ac:dyDescent="0.25">
      <c r="A9" s="1">
        <v>8</v>
      </c>
      <c r="B9" s="1" t="s">
        <v>32</v>
      </c>
      <c r="C9" s="1" t="s">
        <v>50</v>
      </c>
      <c r="D9" s="3" t="s">
        <v>44</v>
      </c>
      <c r="E9" s="1" t="s">
        <v>39</v>
      </c>
      <c r="F9" s="1" t="s">
        <v>51</v>
      </c>
      <c r="G9" s="1" t="s">
        <v>39</v>
      </c>
      <c r="H9" s="1" t="s">
        <v>41</v>
      </c>
      <c r="I9" s="1" t="s">
        <v>52</v>
      </c>
      <c r="J9" s="1" t="s">
        <v>40</v>
      </c>
      <c r="K9" s="1" t="s">
        <v>40</v>
      </c>
      <c r="L9" s="2" t="s">
        <v>39</v>
      </c>
      <c r="M9" s="2" t="s">
        <v>51</v>
      </c>
      <c r="N9" s="2" t="s">
        <v>40</v>
      </c>
      <c r="O9" s="2" t="s">
        <v>50</v>
      </c>
      <c r="P9" s="1" t="s">
        <v>32</v>
      </c>
      <c r="R9" s="1">
        <v>8</v>
      </c>
      <c r="S9" s="1">
        <f t="shared" ca="1" si="1"/>
        <v>8</v>
      </c>
      <c r="T9" s="1">
        <f t="shared" ca="1" si="0"/>
        <v>20</v>
      </c>
      <c r="U9" s="1">
        <f t="shared" ca="1" si="0"/>
        <v>11</v>
      </c>
      <c r="V9" s="1">
        <f t="shared" ca="1" si="0"/>
        <v>12</v>
      </c>
      <c r="W9" s="1">
        <f t="shared" ca="1" si="0"/>
        <v>22</v>
      </c>
      <c r="X9" s="1">
        <f t="shared" ca="1" si="0"/>
        <v>6</v>
      </c>
      <c r="Y9" s="1">
        <f t="shared" ca="1" si="0"/>
        <v>25</v>
      </c>
      <c r="Z9" s="1">
        <f t="shared" ca="1" si="0"/>
        <v>11</v>
      </c>
      <c r="AA9" s="1">
        <f t="shared" ca="1" si="0"/>
        <v>21</v>
      </c>
      <c r="AB9" s="1">
        <f t="shared" ca="1" si="0"/>
        <v>3</v>
      </c>
      <c r="AC9" s="1">
        <f t="shared" ca="1" si="0"/>
        <v>1</v>
      </c>
      <c r="AD9" s="1">
        <f t="shared" ca="1" si="0"/>
        <v>25</v>
      </c>
      <c r="AE9" s="1">
        <f t="shared" ca="1" si="0"/>
        <v>26</v>
      </c>
      <c r="AF9" s="1">
        <f t="shared" ca="1" si="0"/>
        <v>8</v>
      </c>
      <c r="AG9" s="1">
        <f t="shared" ca="1" si="0"/>
        <v>1</v>
      </c>
      <c r="AH9" s="1">
        <f t="shared" ca="1" si="0"/>
        <v>17</v>
      </c>
      <c r="AI9" s="1">
        <f t="shared" ca="1" si="0"/>
        <v>26</v>
      </c>
      <c r="AJ9" s="1">
        <f t="shared" ca="1" si="0"/>
        <v>10</v>
      </c>
      <c r="AK9" s="1">
        <f t="shared" ca="1" si="0"/>
        <v>12</v>
      </c>
      <c r="AL9" s="1">
        <f t="shared" ca="1" si="0"/>
        <v>12</v>
      </c>
      <c r="AN9" t="s">
        <v>11</v>
      </c>
      <c r="AO9" s="1">
        <v>9</v>
      </c>
      <c r="AR9" t="s">
        <v>114</v>
      </c>
      <c r="AS9" s="7">
        <f>(AS3/(AS4^2))-AS5</f>
        <v>408</v>
      </c>
    </row>
    <row r="10" spans="1:47" x14ac:dyDescent="0.25">
      <c r="A10" s="1">
        <v>9</v>
      </c>
      <c r="B10" s="1" t="s">
        <v>38</v>
      </c>
      <c r="C10" s="1" t="s">
        <v>33</v>
      </c>
      <c r="D10" s="3" t="s">
        <v>53</v>
      </c>
      <c r="E10" s="1" t="s">
        <v>39</v>
      </c>
      <c r="F10" s="1" t="s">
        <v>30</v>
      </c>
      <c r="G10" s="1" t="s">
        <v>44</v>
      </c>
      <c r="H10" s="1" t="s">
        <v>48</v>
      </c>
      <c r="I10" s="1" t="s">
        <v>38</v>
      </c>
      <c r="J10" s="1" t="s">
        <v>45</v>
      </c>
      <c r="K10" s="1" t="s">
        <v>47</v>
      </c>
      <c r="L10" s="1" t="s">
        <v>46</v>
      </c>
      <c r="M10" s="1" t="s">
        <v>53</v>
      </c>
      <c r="N10" s="1" t="s">
        <v>43</v>
      </c>
      <c r="O10" s="2" t="s">
        <v>41</v>
      </c>
      <c r="P10" s="1" t="s">
        <v>47</v>
      </c>
      <c r="R10" s="1">
        <v>9</v>
      </c>
      <c r="S10" s="1">
        <f t="shared" ca="1" si="1"/>
        <v>3</v>
      </c>
      <c r="T10" s="1">
        <f t="shared" ca="1" si="0"/>
        <v>7</v>
      </c>
      <c r="U10" s="1">
        <f t="shared" ca="1" si="0"/>
        <v>21</v>
      </c>
      <c r="V10" s="1">
        <f t="shared" ca="1" si="0"/>
        <v>19</v>
      </c>
      <c r="W10" s="1">
        <f t="shared" ca="1" si="0"/>
        <v>8</v>
      </c>
      <c r="X10" s="1">
        <f t="shared" ca="1" si="0"/>
        <v>11</v>
      </c>
      <c r="Y10" s="1">
        <f t="shared" ca="1" si="0"/>
        <v>20</v>
      </c>
      <c r="Z10" s="1">
        <f t="shared" ca="1" si="0"/>
        <v>10</v>
      </c>
      <c r="AA10" s="1">
        <f t="shared" ca="1" si="0"/>
        <v>16</v>
      </c>
      <c r="AB10" s="1">
        <f t="shared" ca="1" si="0"/>
        <v>1</v>
      </c>
      <c r="AC10" s="1">
        <f t="shared" ca="1" si="0"/>
        <v>9</v>
      </c>
      <c r="AD10" s="1">
        <f t="shared" ca="1" si="0"/>
        <v>9</v>
      </c>
      <c r="AE10" s="1">
        <f t="shared" ca="1" si="0"/>
        <v>11</v>
      </c>
      <c r="AF10" s="1">
        <f t="shared" ca="1" si="0"/>
        <v>22</v>
      </c>
      <c r="AG10" s="1">
        <f t="shared" ca="1" si="0"/>
        <v>4</v>
      </c>
      <c r="AH10" s="1">
        <f t="shared" ca="1" si="0"/>
        <v>1</v>
      </c>
      <c r="AI10" s="1">
        <f t="shared" ca="1" si="0"/>
        <v>5</v>
      </c>
      <c r="AJ10" s="1">
        <f t="shared" ca="1" si="0"/>
        <v>6</v>
      </c>
      <c r="AK10" s="1">
        <f t="shared" ca="1" si="0"/>
        <v>9</v>
      </c>
      <c r="AL10" s="1">
        <f t="shared" ca="1" si="0"/>
        <v>18</v>
      </c>
      <c r="AN10" t="s">
        <v>12</v>
      </c>
      <c r="AO10" s="1">
        <v>10</v>
      </c>
    </row>
    <row r="11" spans="1:47" x14ac:dyDescent="0.25">
      <c r="A11" s="1">
        <v>10</v>
      </c>
      <c r="B11" s="1" t="s">
        <v>39</v>
      </c>
      <c r="C11" s="1" t="s">
        <v>51</v>
      </c>
      <c r="D11" s="3" t="s">
        <v>43</v>
      </c>
      <c r="E11" s="1" t="s">
        <v>28</v>
      </c>
      <c r="F11" s="1" t="s">
        <v>42</v>
      </c>
      <c r="G11" s="1" t="s">
        <v>46</v>
      </c>
      <c r="H11" s="1" t="s">
        <v>43</v>
      </c>
      <c r="I11" s="1" t="s">
        <v>42</v>
      </c>
      <c r="J11" s="1" t="s">
        <v>44</v>
      </c>
      <c r="K11" s="1" t="s">
        <v>44</v>
      </c>
      <c r="L11" s="1" t="s">
        <v>49</v>
      </c>
      <c r="M11" s="1" t="s">
        <v>31</v>
      </c>
      <c r="N11" s="1" t="s">
        <v>40</v>
      </c>
      <c r="O11" s="2" t="s">
        <v>31</v>
      </c>
      <c r="P11" s="1" t="s">
        <v>40</v>
      </c>
      <c r="R11" s="1">
        <v>10</v>
      </c>
      <c r="S11" s="1">
        <f t="shared" ca="1" si="1"/>
        <v>20</v>
      </c>
      <c r="T11" s="1">
        <f t="shared" ca="1" si="0"/>
        <v>26</v>
      </c>
      <c r="U11" s="1">
        <f t="shared" ca="1" si="0"/>
        <v>3</v>
      </c>
      <c r="V11" s="1">
        <f t="shared" ca="1" si="0"/>
        <v>18</v>
      </c>
      <c r="W11" s="1">
        <f t="shared" ca="1" si="0"/>
        <v>12</v>
      </c>
      <c r="X11" s="1">
        <f t="shared" ca="1" si="0"/>
        <v>17</v>
      </c>
      <c r="Y11" s="1">
        <f t="shared" ca="1" si="0"/>
        <v>20</v>
      </c>
      <c r="Z11" s="1">
        <f t="shared" ca="1" si="0"/>
        <v>15</v>
      </c>
      <c r="AA11" s="1">
        <f t="shared" ca="1" si="0"/>
        <v>10</v>
      </c>
      <c r="AB11" s="1">
        <f t="shared" ca="1" si="0"/>
        <v>21</v>
      </c>
      <c r="AC11" s="1">
        <f t="shared" ca="1" si="0"/>
        <v>4</v>
      </c>
      <c r="AD11" s="1">
        <f t="shared" ca="1" si="0"/>
        <v>13</v>
      </c>
      <c r="AE11" s="1">
        <f t="shared" ca="1" si="0"/>
        <v>1</v>
      </c>
      <c r="AF11" s="1">
        <f t="shared" ca="1" si="0"/>
        <v>11</v>
      </c>
      <c r="AG11" s="1">
        <f t="shared" ca="1" si="0"/>
        <v>14</v>
      </c>
      <c r="AH11" s="1">
        <f t="shared" ca="1" si="0"/>
        <v>8</v>
      </c>
      <c r="AI11" s="1">
        <f t="shared" ca="1" si="0"/>
        <v>7</v>
      </c>
      <c r="AJ11" s="1">
        <f t="shared" ca="1" si="0"/>
        <v>7</v>
      </c>
      <c r="AK11" s="1">
        <f t="shared" ca="1" si="0"/>
        <v>2</v>
      </c>
      <c r="AL11" s="1">
        <f t="shared" ca="1" si="0"/>
        <v>23</v>
      </c>
      <c r="AN11" t="s">
        <v>13</v>
      </c>
      <c r="AO11" s="1">
        <v>11</v>
      </c>
      <c r="AS11" s="10" t="s">
        <v>130</v>
      </c>
    </row>
    <row r="12" spans="1:47" x14ac:dyDescent="0.25">
      <c r="A12" s="1">
        <v>11</v>
      </c>
      <c r="B12" s="1" t="s">
        <v>32</v>
      </c>
      <c r="C12" s="1" t="s">
        <v>38</v>
      </c>
      <c r="D12" s="1" t="s">
        <v>33</v>
      </c>
      <c r="E12" s="1" t="s">
        <v>36</v>
      </c>
      <c r="F12" s="1" t="s">
        <v>47</v>
      </c>
      <c r="G12" s="1" t="s">
        <v>29</v>
      </c>
      <c r="H12" s="1" t="s">
        <v>34</v>
      </c>
      <c r="I12" s="1" t="s">
        <v>28</v>
      </c>
      <c r="J12" s="1" t="s">
        <v>43</v>
      </c>
      <c r="K12" s="1" t="s">
        <v>32</v>
      </c>
      <c r="L12" s="1" t="s">
        <v>36</v>
      </c>
      <c r="M12" s="1" t="s">
        <v>44</v>
      </c>
      <c r="N12" s="1" t="s">
        <v>41</v>
      </c>
      <c r="O12" s="2" t="s">
        <v>38</v>
      </c>
      <c r="P12" s="1" t="s">
        <v>42</v>
      </c>
      <c r="R12" s="1">
        <v>11</v>
      </c>
      <c r="S12" s="1">
        <f t="shared" ca="1" si="1"/>
        <v>25</v>
      </c>
      <c r="T12" s="1">
        <f t="shared" ca="1" si="0"/>
        <v>17</v>
      </c>
      <c r="U12" s="1">
        <f t="shared" ca="1" si="0"/>
        <v>19</v>
      </c>
      <c r="V12" s="1">
        <f t="shared" ca="1" si="0"/>
        <v>9</v>
      </c>
      <c r="W12" s="1">
        <f t="shared" ca="1" si="0"/>
        <v>9</v>
      </c>
      <c r="X12" s="1">
        <f t="shared" ca="1" si="0"/>
        <v>25</v>
      </c>
      <c r="Y12" s="1">
        <f t="shared" ca="1" si="0"/>
        <v>1</v>
      </c>
      <c r="Z12" s="1">
        <f t="shared" ca="1" si="0"/>
        <v>1</v>
      </c>
      <c r="AA12" s="1">
        <f t="shared" ca="1" si="0"/>
        <v>15</v>
      </c>
      <c r="AB12" s="1">
        <f t="shared" ca="1" si="0"/>
        <v>24</v>
      </c>
      <c r="AC12" s="1">
        <f t="shared" ca="1" si="0"/>
        <v>22</v>
      </c>
      <c r="AD12" s="1">
        <f t="shared" ca="1" si="0"/>
        <v>20</v>
      </c>
      <c r="AE12" s="1">
        <f t="shared" ca="1" si="0"/>
        <v>1</v>
      </c>
      <c r="AF12" s="1">
        <f t="shared" ca="1" si="0"/>
        <v>1</v>
      </c>
      <c r="AG12" s="1">
        <f t="shared" ca="1" si="0"/>
        <v>10</v>
      </c>
      <c r="AH12" s="1">
        <f t="shared" ca="1" si="0"/>
        <v>5</v>
      </c>
      <c r="AI12" s="1">
        <f t="shared" ca="1" si="0"/>
        <v>15</v>
      </c>
      <c r="AJ12" s="1">
        <f t="shared" ca="1" si="0"/>
        <v>8</v>
      </c>
      <c r="AK12" s="1">
        <f t="shared" ca="1" si="0"/>
        <v>8</v>
      </c>
      <c r="AL12" s="1">
        <f t="shared" ca="1" si="0"/>
        <v>23</v>
      </c>
      <c r="AN12" t="s">
        <v>14</v>
      </c>
      <c r="AO12" s="1">
        <v>12</v>
      </c>
    </row>
    <row r="13" spans="1:47" x14ac:dyDescent="0.25">
      <c r="A13" s="1">
        <v>12</v>
      </c>
      <c r="B13" s="1" t="s">
        <v>51</v>
      </c>
      <c r="C13" s="1" t="s">
        <v>52</v>
      </c>
      <c r="D13" s="1" t="s">
        <v>31</v>
      </c>
      <c r="E13" s="1" t="s">
        <v>41</v>
      </c>
      <c r="F13" s="1" t="s">
        <v>39</v>
      </c>
      <c r="G13" s="1" t="s">
        <v>33</v>
      </c>
      <c r="H13" s="1" t="s">
        <v>48</v>
      </c>
      <c r="I13" s="1" t="s">
        <v>43</v>
      </c>
      <c r="J13" s="1" t="s">
        <v>42</v>
      </c>
      <c r="K13" s="1" t="s">
        <v>33</v>
      </c>
      <c r="L13" s="2" t="s">
        <v>33</v>
      </c>
      <c r="M13" s="2" t="s">
        <v>48</v>
      </c>
      <c r="N13" s="2" t="s">
        <v>51</v>
      </c>
      <c r="O13" s="2" t="s">
        <v>29</v>
      </c>
      <c r="P13" s="1" t="s">
        <v>35</v>
      </c>
      <c r="R13" s="1">
        <v>12</v>
      </c>
      <c r="S13" s="1">
        <f t="shared" ca="1" si="1"/>
        <v>21</v>
      </c>
      <c r="T13" s="1">
        <f t="shared" ca="1" si="0"/>
        <v>13</v>
      </c>
      <c r="U13" s="1">
        <f t="shared" ca="1" si="0"/>
        <v>23</v>
      </c>
      <c r="V13" s="1">
        <f t="shared" ca="1" si="0"/>
        <v>4</v>
      </c>
      <c r="W13" s="1">
        <f t="shared" ca="1" si="0"/>
        <v>14</v>
      </c>
      <c r="X13" s="1">
        <f t="shared" ca="1" si="0"/>
        <v>11</v>
      </c>
      <c r="Y13" s="1">
        <f t="shared" ca="1" si="0"/>
        <v>7</v>
      </c>
      <c r="Z13" s="1">
        <f t="shared" ca="1" si="0"/>
        <v>25</v>
      </c>
      <c r="AA13" s="1">
        <f t="shared" ca="1" si="0"/>
        <v>8</v>
      </c>
      <c r="AB13" s="1">
        <f t="shared" ca="1" si="0"/>
        <v>10</v>
      </c>
      <c r="AC13" s="1">
        <f t="shared" ca="1" si="0"/>
        <v>25</v>
      </c>
      <c r="AD13" s="1">
        <f t="shared" ca="1" si="0"/>
        <v>1</v>
      </c>
      <c r="AE13" s="1">
        <f t="shared" ca="1" si="0"/>
        <v>9</v>
      </c>
      <c r="AF13" s="1">
        <f t="shared" ca="1" si="0"/>
        <v>13</v>
      </c>
      <c r="AG13" s="1">
        <f t="shared" ca="1" si="0"/>
        <v>10</v>
      </c>
      <c r="AH13" s="1">
        <f t="shared" ca="1" si="0"/>
        <v>13</v>
      </c>
      <c r="AI13" s="1">
        <f t="shared" ca="1" si="0"/>
        <v>8</v>
      </c>
      <c r="AJ13" s="1">
        <f t="shared" ca="1" si="0"/>
        <v>8</v>
      </c>
      <c r="AK13" s="1">
        <f t="shared" ca="1" si="0"/>
        <v>5</v>
      </c>
      <c r="AL13" s="1">
        <f t="shared" ca="1" si="0"/>
        <v>3</v>
      </c>
      <c r="AN13" t="s">
        <v>15</v>
      </c>
      <c r="AO13" s="1">
        <v>13</v>
      </c>
      <c r="AS13" s="7">
        <f>AS9+6</f>
        <v>414</v>
      </c>
    </row>
    <row r="14" spans="1:47" x14ac:dyDescent="0.25">
      <c r="A14" s="1">
        <v>13</v>
      </c>
      <c r="B14" s="1" t="s">
        <v>51</v>
      </c>
      <c r="C14" s="1" t="s">
        <v>53</v>
      </c>
      <c r="D14" s="1" t="s">
        <v>38</v>
      </c>
      <c r="E14" s="1" t="s">
        <v>48</v>
      </c>
      <c r="F14" s="1" t="s">
        <v>53</v>
      </c>
      <c r="G14" s="1" t="s">
        <v>51</v>
      </c>
      <c r="H14" s="1" t="s">
        <v>51</v>
      </c>
      <c r="I14" s="1" t="s">
        <v>48</v>
      </c>
      <c r="J14" s="1" t="s">
        <v>30</v>
      </c>
      <c r="K14" s="1" t="s">
        <v>42</v>
      </c>
      <c r="L14" s="1" t="s">
        <v>39</v>
      </c>
      <c r="M14" s="1" t="s">
        <v>51</v>
      </c>
      <c r="N14" s="1" t="s">
        <v>48</v>
      </c>
      <c r="O14" s="1" t="s">
        <v>49</v>
      </c>
      <c r="P14" s="1" t="s">
        <v>31</v>
      </c>
      <c r="R14" s="1">
        <v>13</v>
      </c>
      <c r="S14" s="1">
        <f t="shared" ca="1" si="1"/>
        <v>24</v>
      </c>
      <c r="T14" s="1">
        <f t="shared" ca="1" si="0"/>
        <v>19</v>
      </c>
      <c r="U14" s="1">
        <f t="shared" ca="1" si="0"/>
        <v>6</v>
      </c>
      <c r="V14" s="1">
        <f t="shared" ca="1" si="0"/>
        <v>23</v>
      </c>
      <c r="W14" s="1">
        <f t="shared" ca="1" si="0"/>
        <v>21</v>
      </c>
      <c r="X14" s="1">
        <f t="shared" ca="1" si="0"/>
        <v>9</v>
      </c>
      <c r="Y14" s="1">
        <f t="shared" ca="1" si="0"/>
        <v>3</v>
      </c>
      <c r="Z14" s="1">
        <f t="shared" ca="1" si="0"/>
        <v>1</v>
      </c>
      <c r="AA14" s="1">
        <f t="shared" ca="1" si="0"/>
        <v>17</v>
      </c>
      <c r="AB14" s="1">
        <f t="shared" ca="1" si="0"/>
        <v>16</v>
      </c>
      <c r="AC14" s="1">
        <f t="shared" ca="1" si="0"/>
        <v>7</v>
      </c>
      <c r="AD14" s="1">
        <f t="shared" ca="1" si="0"/>
        <v>20</v>
      </c>
      <c r="AE14" s="1">
        <f t="shared" ca="1" si="0"/>
        <v>13</v>
      </c>
      <c r="AF14" s="1">
        <f t="shared" ca="1" si="0"/>
        <v>17</v>
      </c>
      <c r="AG14" s="1">
        <f t="shared" ca="1" si="0"/>
        <v>8</v>
      </c>
      <c r="AH14" s="1">
        <f t="shared" ca="1" si="0"/>
        <v>24</v>
      </c>
      <c r="AI14" s="1">
        <f t="shared" ca="1" si="0"/>
        <v>11</v>
      </c>
      <c r="AJ14" s="1">
        <f t="shared" ca="1" si="0"/>
        <v>10</v>
      </c>
      <c r="AK14" s="1">
        <f t="shared" ca="1" si="0"/>
        <v>24</v>
      </c>
      <c r="AL14" s="1">
        <f t="shared" ca="1" si="0"/>
        <v>18</v>
      </c>
      <c r="AN14" t="s">
        <v>16</v>
      </c>
      <c r="AO14" s="1">
        <v>14</v>
      </c>
    </row>
    <row r="15" spans="1:47" x14ac:dyDescent="0.25">
      <c r="A15" s="1">
        <v>14</v>
      </c>
      <c r="B15" s="1" t="s">
        <v>39</v>
      </c>
      <c r="C15" s="1" t="s">
        <v>37</v>
      </c>
      <c r="D15" s="1" t="s">
        <v>35</v>
      </c>
      <c r="E15" s="1" t="s">
        <v>45</v>
      </c>
      <c r="F15" s="1" t="s">
        <v>35</v>
      </c>
      <c r="G15" s="1" t="s">
        <v>33</v>
      </c>
      <c r="H15" s="1" t="s">
        <v>47</v>
      </c>
      <c r="I15" s="1" t="s">
        <v>45</v>
      </c>
      <c r="J15" s="1" t="s">
        <v>32</v>
      </c>
      <c r="K15" s="1" t="s">
        <v>42</v>
      </c>
      <c r="L15" s="1" t="s">
        <v>42</v>
      </c>
      <c r="M15" s="1" t="s">
        <v>30</v>
      </c>
      <c r="N15" s="1" t="s">
        <v>47</v>
      </c>
      <c r="O15" s="1" t="s">
        <v>41</v>
      </c>
      <c r="P15" s="1" t="s">
        <v>44</v>
      </c>
      <c r="R15" s="1">
        <v>14</v>
      </c>
      <c r="S15" s="1">
        <f t="shared" ca="1" si="1"/>
        <v>11</v>
      </c>
      <c r="T15" s="1">
        <f t="shared" ca="1" si="0"/>
        <v>18</v>
      </c>
      <c r="U15" s="1">
        <f t="shared" ca="1" si="0"/>
        <v>16</v>
      </c>
      <c r="V15" s="1">
        <f t="shared" ca="1" si="0"/>
        <v>3</v>
      </c>
      <c r="W15" s="1">
        <f t="shared" ca="1" si="0"/>
        <v>8</v>
      </c>
      <c r="X15" s="1">
        <f t="shared" ca="1" si="0"/>
        <v>19</v>
      </c>
      <c r="Y15" s="1">
        <f t="shared" ca="1" si="0"/>
        <v>13</v>
      </c>
      <c r="Z15" s="1">
        <f t="shared" ca="1" si="0"/>
        <v>4</v>
      </c>
      <c r="AA15" s="1">
        <f t="shared" ca="1" si="0"/>
        <v>9</v>
      </c>
      <c r="AB15" s="1">
        <f t="shared" ref="AB15:AL16" ca="1" si="2">MAX(ROUND(RAND()*26,0),1)</f>
        <v>14</v>
      </c>
      <c r="AC15" s="1">
        <f t="shared" ca="1" si="2"/>
        <v>12</v>
      </c>
      <c r="AD15" s="1">
        <f t="shared" ca="1" si="2"/>
        <v>15</v>
      </c>
      <c r="AE15" s="1">
        <f t="shared" ca="1" si="2"/>
        <v>18</v>
      </c>
      <c r="AF15" s="1">
        <f t="shared" ca="1" si="2"/>
        <v>25</v>
      </c>
      <c r="AG15" s="1">
        <f t="shared" ca="1" si="2"/>
        <v>6</v>
      </c>
      <c r="AH15" s="1">
        <f t="shared" ca="1" si="2"/>
        <v>8</v>
      </c>
      <c r="AI15" s="1">
        <f t="shared" ca="1" si="2"/>
        <v>10</v>
      </c>
      <c r="AJ15" s="1">
        <f t="shared" ca="1" si="2"/>
        <v>25</v>
      </c>
      <c r="AK15" s="1">
        <f t="shared" ca="1" si="2"/>
        <v>16</v>
      </c>
      <c r="AL15" s="1">
        <f t="shared" ca="1" si="2"/>
        <v>23</v>
      </c>
      <c r="AN15" t="s">
        <v>17</v>
      </c>
      <c r="AO15" s="1">
        <v>15</v>
      </c>
    </row>
    <row r="16" spans="1:47" x14ac:dyDescent="0.25">
      <c r="A16" s="1">
        <v>15</v>
      </c>
      <c r="B16" s="1" t="s">
        <v>36</v>
      </c>
      <c r="C16" s="1" t="s">
        <v>53</v>
      </c>
      <c r="D16" s="1" t="s">
        <v>46</v>
      </c>
      <c r="E16" s="1" t="s">
        <v>34</v>
      </c>
      <c r="F16" s="1" t="s">
        <v>38</v>
      </c>
      <c r="G16" s="1" t="s">
        <v>52</v>
      </c>
      <c r="H16" s="1" t="s">
        <v>34</v>
      </c>
      <c r="I16" s="1" t="s">
        <v>53</v>
      </c>
      <c r="J16" s="1" t="s">
        <v>46</v>
      </c>
      <c r="K16" s="1" t="s">
        <v>51</v>
      </c>
      <c r="L16" s="1" t="s">
        <v>49</v>
      </c>
      <c r="M16" s="1" t="s">
        <v>37</v>
      </c>
      <c r="N16" s="1" t="s">
        <v>36</v>
      </c>
      <c r="O16" s="1" t="s">
        <v>43</v>
      </c>
      <c r="P16" s="1" t="s">
        <v>46</v>
      </c>
      <c r="R16" s="1">
        <v>15</v>
      </c>
      <c r="S16" s="1">
        <f t="shared" ca="1" si="1"/>
        <v>15</v>
      </c>
      <c r="T16" s="1">
        <f t="shared" ca="1" si="1"/>
        <v>18</v>
      </c>
      <c r="U16" s="1">
        <f t="shared" ca="1" si="1"/>
        <v>9</v>
      </c>
      <c r="V16" s="1">
        <f t="shared" ca="1" si="1"/>
        <v>14</v>
      </c>
      <c r="W16" s="1">
        <f t="shared" ca="1" si="1"/>
        <v>15</v>
      </c>
      <c r="X16" s="1">
        <f t="shared" ca="1" si="1"/>
        <v>5</v>
      </c>
      <c r="Y16" s="1">
        <f t="shared" ca="1" si="1"/>
        <v>9</v>
      </c>
      <c r="Z16" s="1">
        <f t="shared" ca="1" si="1"/>
        <v>25</v>
      </c>
      <c r="AA16" s="1">
        <f t="shared" ca="1" si="1"/>
        <v>22</v>
      </c>
      <c r="AB16" s="1">
        <f t="shared" ca="1" si="1"/>
        <v>9</v>
      </c>
      <c r="AC16" s="1">
        <f t="shared" ca="1" si="1"/>
        <v>11</v>
      </c>
      <c r="AD16" s="1">
        <f t="shared" ca="1" si="1"/>
        <v>10</v>
      </c>
      <c r="AE16" s="1">
        <f t="shared" ca="1" si="1"/>
        <v>12</v>
      </c>
      <c r="AF16" s="1">
        <f t="shared" ca="1" si="1"/>
        <v>21</v>
      </c>
      <c r="AG16" s="1">
        <f t="shared" ca="1" si="1"/>
        <v>17</v>
      </c>
      <c r="AH16" s="1">
        <f t="shared" ca="1" si="1"/>
        <v>24</v>
      </c>
      <c r="AI16" s="1">
        <f t="shared" ca="1" si="2"/>
        <v>19</v>
      </c>
      <c r="AJ16" s="1">
        <f t="shared" ca="1" si="2"/>
        <v>12</v>
      </c>
      <c r="AK16" s="1">
        <f t="shared" ca="1" si="2"/>
        <v>13</v>
      </c>
      <c r="AL16" s="1">
        <f t="shared" ca="1" si="2"/>
        <v>13</v>
      </c>
      <c r="AN16" t="s">
        <v>18</v>
      </c>
      <c r="AO16" s="1">
        <v>16</v>
      </c>
      <c r="AR16" t="s">
        <v>126</v>
      </c>
      <c r="AT16">
        <f>SUM(AS18:AS26)</f>
        <v>326</v>
      </c>
    </row>
    <row r="17" spans="1:47" x14ac:dyDescent="0.25">
      <c r="A17" s="1"/>
      <c r="B17" s="1"/>
      <c r="C17" s="1"/>
      <c r="D17" s="1"/>
      <c r="E17" s="1"/>
      <c r="F17" s="1"/>
      <c r="G17" s="1"/>
      <c r="H17" s="1"/>
      <c r="I17" s="1"/>
      <c r="J17" s="1"/>
      <c r="K17" s="1"/>
      <c r="L17" s="1"/>
      <c r="M17" s="1"/>
      <c r="N17" s="1"/>
      <c r="O17" s="1"/>
      <c r="P17" s="1"/>
      <c r="R17" s="1"/>
      <c r="S17" s="1"/>
      <c r="T17" s="1"/>
      <c r="U17" s="1"/>
      <c r="V17" s="1"/>
      <c r="W17" s="1"/>
      <c r="X17" s="1"/>
      <c r="Y17" s="1"/>
      <c r="Z17" s="1"/>
      <c r="AA17" s="1"/>
      <c r="AB17" s="1"/>
      <c r="AC17" s="1"/>
      <c r="AD17" s="1"/>
      <c r="AE17" s="1"/>
      <c r="AF17" s="1"/>
      <c r="AG17" s="1"/>
      <c r="AH17" s="1"/>
      <c r="AI17" s="1"/>
      <c r="AJ17" s="1"/>
      <c r="AK17" s="1"/>
      <c r="AL17" s="1"/>
      <c r="AN17" t="s">
        <v>19</v>
      </c>
      <c r="AO17" s="1">
        <v>17</v>
      </c>
    </row>
    <row r="18" spans="1:47" x14ac:dyDescent="0.25">
      <c r="A18" s="1"/>
      <c r="B18" s="1" t="s">
        <v>5</v>
      </c>
      <c r="C18" s="1" t="s">
        <v>4</v>
      </c>
      <c r="D18" s="1" t="s">
        <v>6</v>
      </c>
      <c r="E18" s="1" t="s">
        <v>13</v>
      </c>
      <c r="F18" s="1" t="s">
        <v>18</v>
      </c>
      <c r="G18" s="1" t="s">
        <v>4</v>
      </c>
      <c r="H18" s="1" t="s">
        <v>6</v>
      </c>
      <c r="I18" s="1" t="s">
        <v>13</v>
      </c>
      <c r="J18" s="1"/>
      <c r="M18" s="1"/>
      <c r="N18" s="1"/>
      <c r="O18" s="1"/>
      <c r="P18" s="1"/>
      <c r="R18" s="1"/>
      <c r="S18" s="1"/>
      <c r="T18" s="1"/>
      <c r="U18" s="1"/>
      <c r="V18" s="1"/>
      <c r="W18" s="1"/>
      <c r="X18" s="1"/>
      <c r="Y18" s="1"/>
      <c r="Z18" s="1"/>
      <c r="AA18" s="1"/>
      <c r="AB18" s="1"/>
      <c r="AC18" s="1"/>
      <c r="AD18" s="1"/>
      <c r="AE18" s="1"/>
      <c r="AF18" s="1"/>
      <c r="AG18" s="1"/>
      <c r="AH18" s="1"/>
      <c r="AI18" s="1"/>
      <c r="AJ18" s="1"/>
      <c r="AK18" s="1"/>
      <c r="AL18" s="1"/>
      <c r="AN18" t="s">
        <v>20</v>
      </c>
      <c r="AO18" s="1">
        <v>18</v>
      </c>
      <c r="AR18" t="s">
        <v>41</v>
      </c>
      <c r="AS18">
        <v>19</v>
      </c>
    </row>
    <row r="19" spans="1:47" x14ac:dyDescent="0.25">
      <c r="A19" s="1"/>
      <c r="B19" s="1" t="s">
        <v>9</v>
      </c>
      <c r="C19" s="1" t="s">
        <v>4</v>
      </c>
      <c r="D19" s="1" t="s">
        <v>24</v>
      </c>
      <c r="E19" s="1" t="s">
        <v>17</v>
      </c>
      <c r="F19" s="1" t="s">
        <v>23</v>
      </c>
      <c r="G19" s="1" t="s">
        <v>20</v>
      </c>
      <c r="H19" s="1" t="s">
        <v>11</v>
      </c>
      <c r="I19" s="1" t="s">
        <v>22</v>
      </c>
      <c r="J19" s="1" t="s">
        <v>8</v>
      </c>
      <c r="L19" s="1" t="s">
        <v>33</v>
      </c>
      <c r="M19" s="1" t="s">
        <v>48</v>
      </c>
      <c r="N19" s="1" t="s">
        <v>51</v>
      </c>
      <c r="O19" s="1" t="s">
        <v>29</v>
      </c>
      <c r="P19" s="1"/>
      <c r="R19" s="1"/>
      <c r="S19" s="1"/>
      <c r="T19" s="1"/>
      <c r="U19" s="1"/>
      <c r="V19" s="1"/>
      <c r="W19" s="1"/>
      <c r="X19" s="1"/>
      <c r="Y19" s="1"/>
      <c r="Z19" s="1"/>
      <c r="AA19" s="1"/>
      <c r="AB19" s="1"/>
      <c r="AC19" s="1"/>
      <c r="AD19" s="1"/>
      <c r="AE19" s="1"/>
      <c r="AF19" s="1"/>
      <c r="AG19" s="1"/>
      <c r="AH19" s="1"/>
      <c r="AI19" s="1"/>
      <c r="AJ19" s="1"/>
      <c r="AK19" s="1"/>
      <c r="AL19" s="1"/>
      <c r="AN19" t="s">
        <v>21</v>
      </c>
      <c r="AO19" s="1">
        <v>19</v>
      </c>
      <c r="AR19" t="s">
        <v>127</v>
      </c>
      <c r="AS19">
        <v>102</v>
      </c>
    </row>
    <row r="20" spans="1:47" x14ac:dyDescent="0.25">
      <c r="A20" s="1"/>
      <c r="B20" s="1" t="s">
        <v>9</v>
      </c>
      <c r="C20" s="1" t="s">
        <v>17</v>
      </c>
      <c r="D20" s="1" t="s">
        <v>20</v>
      </c>
      <c r="E20" s="1" t="s">
        <v>10</v>
      </c>
      <c r="F20" s="1" t="s">
        <v>8</v>
      </c>
      <c r="G20" s="1" t="s">
        <v>22</v>
      </c>
      <c r="H20" s="1"/>
      <c r="I20" s="1"/>
      <c r="J20" s="1"/>
      <c r="M20" s="1"/>
      <c r="N20" s="1"/>
      <c r="O20" s="1" t="s">
        <v>38</v>
      </c>
      <c r="P20" s="1"/>
      <c r="R20" s="1"/>
      <c r="S20" s="1"/>
      <c r="T20" s="1"/>
      <c r="U20" s="1"/>
      <c r="V20" s="1"/>
      <c r="W20" s="1"/>
      <c r="X20" s="1"/>
      <c r="Y20" s="1"/>
      <c r="Z20" s="1"/>
      <c r="AA20" s="1"/>
      <c r="AB20" s="1"/>
      <c r="AC20" s="1"/>
      <c r="AD20" s="1"/>
      <c r="AE20" s="1"/>
      <c r="AF20" s="1"/>
      <c r="AG20" s="1"/>
      <c r="AH20" s="1"/>
      <c r="AI20" s="1"/>
      <c r="AJ20" s="1"/>
      <c r="AK20" s="1"/>
      <c r="AL20" s="1"/>
      <c r="AN20" t="s">
        <v>22</v>
      </c>
      <c r="AO20" s="1">
        <v>20</v>
      </c>
      <c r="AR20" t="s">
        <v>35</v>
      </c>
      <c r="AS20">
        <v>74</v>
      </c>
      <c r="AU20">
        <v>401926.91</v>
      </c>
    </row>
    <row r="21" spans="1:47" x14ac:dyDescent="0.25">
      <c r="A21" s="1"/>
      <c r="B21" s="1"/>
      <c r="C21" s="1"/>
      <c r="D21" s="1"/>
      <c r="E21" s="1"/>
      <c r="F21" s="1"/>
      <c r="G21" s="1"/>
      <c r="H21" s="1"/>
      <c r="I21" s="1"/>
      <c r="J21" s="1"/>
      <c r="K21" s="1"/>
      <c r="L21" s="1"/>
      <c r="M21" s="1"/>
      <c r="N21" s="1"/>
      <c r="O21" s="1" t="s">
        <v>31</v>
      </c>
      <c r="P21" s="1"/>
      <c r="R21" s="1"/>
      <c r="S21" s="1"/>
      <c r="T21" s="1"/>
      <c r="U21" s="1"/>
      <c r="V21" s="1"/>
      <c r="W21" s="1"/>
      <c r="X21" s="1"/>
      <c r="Y21" s="1"/>
      <c r="Z21" s="1"/>
      <c r="AA21" s="1"/>
      <c r="AB21" s="1"/>
      <c r="AC21" s="1"/>
      <c r="AD21" s="1"/>
      <c r="AE21" s="1"/>
      <c r="AF21" s="1"/>
      <c r="AG21" s="1"/>
      <c r="AH21" s="1"/>
      <c r="AI21" s="1"/>
      <c r="AJ21" s="1"/>
      <c r="AK21" s="1"/>
      <c r="AL21" s="1"/>
      <c r="AN21" t="s">
        <v>23</v>
      </c>
      <c r="AO21" s="1">
        <v>21</v>
      </c>
      <c r="AR21" t="s">
        <v>53</v>
      </c>
      <c r="AS21">
        <v>7</v>
      </c>
      <c r="AU21">
        <v>6371</v>
      </c>
    </row>
    <row r="22" spans="1:47" x14ac:dyDescent="0.25">
      <c r="O22" s="1" t="s">
        <v>41</v>
      </c>
      <c r="AN22" t="s">
        <v>24</v>
      </c>
      <c r="AO22" s="1">
        <v>22</v>
      </c>
      <c r="AR22" t="s">
        <v>50</v>
      </c>
      <c r="AS22">
        <v>15</v>
      </c>
      <c r="AU22">
        <v>7.7</v>
      </c>
    </row>
    <row r="23" spans="1:47" x14ac:dyDescent="0.25">
      <c r="B23" t="s">
        <v>20</v>
      </c>
      <c r="C23" t="s">
        <v>8</v>
      </c>
      <c r="D23" t="s">
        <v>7</v>
      </c>
      <c r="L23" t="s">
        <v>39</v>
      </c>
      <c r="M23" t="s">
        <v>51</v>
      </c>
      <c r="N23" t="s">
        <v>40</v>
      </c>
      <c r="O23" s="1" t="s">
        <v>50</v>
      </c>
      <c r="AN23" t="s">
        <v>3</v>
      </c>
      <c r="AO23" s="1">
        <v>23</v>
      </c>
      <c r="AR23" t="s">
        <v>39</v>
      </c>
      <c r="AS23">
        <v>1</v>
      </c>
    </row>
    <row r="24" spans="1:47" x14ac:dyDescent="0.25">
      <c r="B24" t="s">
        <v>2</v>
      </c>
      <c r="C24" t="s">
        <v>8</v>
      </c>
      <c r="D24" t="s">
        <v>20</v>
      </c>
      <c r="E24" t="s">
        <v>20</v>
      </c>
      <c r="F24" t="s">
        <v>11</v>
      </c>
      <c r="G24" t="s">
        <v>16</v>
      </c>
      <c r="H24" t="s">
        <v>10</v>
      </c>
      <c r="O24" s="1" t="s">
        <v>38</v>
      </c>
      <c r="AN24" t="s">
        <v>25</v>
      </c>
      <c r="AO24" s="1">
        <v>24</v>
      </c>
      <c r="AR24" t="s">
        <v>52</v>
      </c>
      <c r="AS24">
        <v>39</v>
      </c>
      <c r="AU24">
        <f>AU20/(AU22*AU22)</f>
        <v>6778.9999999999991</v>
      </c>
    </row>
    <row r="25" spans="1:47" x14ac:dyDescent="0.25">
      <c r="O25" s="1" t="s">
        <v>31</v>
      </c>
      <c r="AN25" t="s">
        <v>26</v>
      </c>
      <c r="AO25" s="1">
        <v>25</v>
      </c>
      <c r="AR25" t="s">
        <v>128</v>
      </c>
      <c r="AS25">
        <v>14</v>
      </c>
      <c r="AU25">
        <f>AU24-AU21</f>
        <v>407.99999999999909</v>
      </c>
    </row>
    <row r="26" spans="1:47" x14ac:dyDescent="0.25">
      <c r="L26" t="s">
        <v>50</v>
      </c>
      <c r="M26" t="s">
        <v>38</v>
      </c>
      <c r="N26" t="s">
        <v>31</v>
      </c>
      <c r="O26" s="1" t="s">
        <v>41</v>
      </c>
      <c r="AN26" t="s">
        <v>27</v>
      </c>
      <c r="AO26" s="1">
        <v>26</v>
      </c>
      <c r="AR26" t="s">
        <v>129</v>
      </c>
      <c r="AS26">
        <v>55</v>
      </c>
    </row>
    <row r="28" spans="1:47" ht="15.75" thickBot="1" x14ac:dyDescent="0.3"/>
    <row r="29" spans="1:47" x14ac:dyDescent="0.25">
      <c r="C29" s="45">
        <v>3</v>
      </c>
      <c r="D29" s="35"/>
      <c r="E29" s="35">
        <v>1</v>
      </c>
      <c r="F29" s="36"/>
      <c r="G29" s="46">
        <v>4</v>
      </c>
      <c r="H29" s="47"/>
      <c r="I29" s="35">
        <v>2</v>
      </c>
      <c r="J29" s="36"/>
    </row>
    <row r="30" spans="1:47" x14ac:dyDescent="0.25">
      <c r="C30" s="41"/>
      <c r="D30" s="37"/>
      <c r="E30" s="37"/>
      <c r="F30" s="38"/>
      <c r="G30" s="48"/>
      <c r="H30" s="49"/>
      <c r="I30" s="37"/>
      <c r="J30" s="38"/>
    </row>
    <row r="31" spans="1:47" x14ac:dyDescent="0.25">
      <c r="C31" s="33">
        <v>4</v>
      </c>
      <c r="D31" s="34"/>
      <c r="E31" s="34">
        <v>2</v>
      </c>
      <c r="F31" s="40"/>
      <c r="G31" s="41">
        <v>3</v>
      </c>
      <c r="H31" s="37"/>
      <c r="I31" s="34">
        <v>1</v>
      </c>
      <c r="J31" s="40"/>
    </row>
    <row r="32" spans="1:47" ht="15.75" thickBot="1" x14ac:dyDescent="0.3">
      <c r="C32" s="50"/>
      <c r="D32" s="51"/>
      <c r="E32" s="51"/>
      <c r="F32" s="52"/>
      <c r="G32" s="42"/>
      <c r="H32" s="43"/>
      <c r="I32" s="51"/>
      <c r="J32" s="52"/>
    </row>
    <row r="33" spans="3:10" x14ac:dyDescent="0.25">
      <c r="C33" s="31">
        <v>1</v>
      </c>
      <c r="D33" s="32"/>
      <c r="E33" s="35">
        <v>3</v>
      </c>
      <c r="F33" s="36"/>
      <c r="G33" s="31">
        <v>2</v>
      </c>
      <c r="H33" s="32"/>
      <c r="I33" s="32">
        <v>4</v>
      </c>
      <c r="J33" s="39"/>
    </row>
    <row r="34" spans="3:10" x14ac:dyDescent="0.25">
      <c r="C34" s="33"/>
      <c r="D34" s="34"/>
      <c r="E34" s="37"/>
      <c r="F34" s="38"/>
      <c r="G34" s="33"/>
      <c r="H34" s="34"/>
      <c r="I34" s="34"/>
      <c r="J34" s="40"/>
    </row>
    <row r="35" spans="3:10" x14ac:dyDescent="0.25">
      <c r="C35" s="41">
        <v>2</v>
      </c>
      <c r="D35" s="37"/>
      <c r="E35" s="37">
        <v>4</v>
      </c>
      <c r="F35" s="38"/>
      <c r="G35" s="41">
        <v>1</v>
      </c>
      <c r="H35" s="37"/>
      <c r="I35" s="37">
        <v>3</v>
      </c>
      <c r="J35" s="38"/>
    </row>
    <row r="36" spans="3:10" ht="15.75" thickBot="1" x14ac:dyDescent="0.3">
      <c r="C36" s="42"/>
      <c r="D36" s="43"/>
      <c r="E36" s="43"/>
      <c r="F36" s="44"/>
      <c r="G36" s="42"/>
      <c r="H36" s="43"/>
      <c r="I36" s="43"/>
      <c r="J36" s="44"/>
    </row>
    <row r="39" spans="3:10" x14ac:dyDescent="0.25">
      <c r="F39" t="s">
        <v>57</v>
      </c>
    </row>
  </sheetData>
  <mergeCells count="16">
    <mergeCell ref="C29:D30"/>
    <mergeCell ref="E29:F30"/>
    <mergeCell ref="G29:H30"/>
    <mergeCell ref="I29:J30"/>
    <mergeCell ref="C31:D32"/>
    <mergeCell ref="E31:F32"/>
    <mergeCell ref="G31:H32"/>
    <mergeCell ref="I31:J32"/>
    <mergeCell ref="C33:D34"/>
    <mergeCell ref="E33:F34"/>
    <mergeCell ref="G33:H34"/>
    <mergeCell ref="I33:J34"/>
    <mergeCell ref="C35:D36"/>
    <mergeCell ref="E35:F36"/>
    <mergeCell ref="G35:H36"/>
    <mergeCell ref="I35:J36"/>
  </mergeCells>
  <pageMargins left="0.7" right="0.7" top="0.75" bottom="0.75" header="0.3" footer="0.3"/>
  <headerFooter>
    <oddHeader>&amp;R&amp;"Aptos"&amp;12&amp;K000000 UNCLASSIFIED - NON CLASSIFIÉ&amp;1#_x000D_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04ABF-C663-46F7-972D-D3A53183DCD1}">
  <sheetPr>
    <tabColor theme="8"/>
  </sheetPr>
  <dimension ref="B2:Q29"/>
  <sheetViews>
    <sheetView showGridLines="0" workbookViewId="0">
      <selection activeCell="Q19" sqref="Q19"/>
    </sheetView>
  </sheetViews>
  <sheetFormatPr defaultRowHeight="15" x14ac:dyDescent="0.25"/>
  <cols>
    <col min="1" max="1" width="3.85546875" customWidth="1"/>
    <col min="2" max="17" width="3.28515625" customWidth="1"/>
    <col min="18" max="18" width="3.85546875" customWidth="1"/>
  </cols>
  <sheetData>
    <row r="2" spans="2:17" x14ac:dyDescent="0.25">
      <c r="D2" s="53" t="s">
        <v>54</v>
      </c>
      <c r="E2" s="53"/>
      <c r="F2" s="53"/>
      <c r="G2" s="53"/>
      <c r="H2" s="53"/>
      <c r="I2" s="53"/>
      <c r="J2" s="53"/>
      <c r="K2" s="53"/>
      <c r="L2" s="53"/>
      <c r="M2" s="53"/>
      <c r="N2" s="53"/>
      <c r="O2" s="53"/>
      <c r="P2" s="53"/>
    </row>
    <row r="3" spans="2:17" x14ac:dyDescent="0.25">
      <c r="D3" s="53"/>
      <c r="E3" s="53"/>
      <c r="F3" s="53"/>
      <c r="G3" s="53"/>
      <c r="H3" s="53"/>
      <c r="I3" s="53"/>
      <c r="J3" s="53"/>
      <c r="K3" s="53"/>
      <c r="L3" s="53"/>
      <c r="M3" s="53"/>
      <c r="N3" s="53"/>
      <c r="O3" s="53"/>
      <c r="P3" s="53"/>
    </row>
    <row r="4" spans="2:17" x14ac:dyDescent="0.25">
      <c r="B4" s="4" t="s">
        <v>28</v>
      </c>
      <c r="C4" s="4" t="s">
        <v>29</v>
      </c>
      <c r="D4" s="4" t="s">
        <v>30</v>
      </c>
      <c r="E4" s="4" t="s">
        <v>30</v>
      </c>
      <c r="F4" s="4" t="s">
        <v>31</v>
      </c>
      <c r="G4" s="4" t="s">
        <v>32</v>
      </c>
      <c r="H4" s="4" t="s">
        <v>33</v>
      </c>
      <c r="I4" s="4" t="s">
        <v>34</v>
      </c>
      <c r="J4" s="4" t="s">
        <v>35</v>
      </c>
      <c r="K4" s="4" t="s">
        <v>36</v>
      </c>
      <c r="L4" s="4" t="s">
        <v>37</v>
      </c>
      <c r="M4" s="4" t="s">
        <v>38</v>
      </c>
      <c r="N4" s="4" t="s">
        <v>39</v>
      </c>
      <c r="O4" s="4" t="s">
        <v>40</v>
      </c>
      <c r="P4" s="4" t="s">
        <v>41</v>
      </c>
      <c r="Q4" s="4" t="s">
        <v>43</v>
      </c>
    </row>
    <row r="5" spans="2:17" x14ac:dyDescent="0.25">
      <c r="B5" s="4" t="s">
        <v>35</v>
      </c>
      <c r="C5" s="4" t="s">
        <v>51</v>
      </c>
      <c r="D5" s="4" t="s">
        <v>33</v>
      </c>
      <c r="E5" s="4" t="s">
        <v>35</v>
      </c>
      <c r="F5" s="4" t="s">
        <v>33</v>
      </c>
      <c r="G5" s="4" t="s">
        <v>51</v>
      </c>
      <c r="H5" s="4" t="s">
        <v>43</v>
      </c>
      <c r="I5" s="4" t="s">
        <v>30</v>
      </c>
      <c r="J5" s="4" t="s">
        <v>37</v>
      </c>
      <c r="K5" s="4" t="s">
        <v>46</v>
      </c>
      <c r="L5" s="4" t="s">
        <v>32</v>
      </c>
      <c r="M5" s="4" t="s">
        <v>32</v>
      </c>
      <c r="N5" s="4" t="s">
        <v>32</v>
      </c>
      <c r="O5" s="4" t="s">
        <v>38</v>
      </c>
      <c r="P5" s="4" t="s">
        <v>36</v>
      </c>
      <c r="Q5" s="4" t="s">
        <v>49</v>
      </c>
    </row>
    <row r="6" spans="2:17" x14ac:dyDescent="0.25">
      <c r="B6" s="4" t="s">
        <v>43</v>
      </c>
      <c r="C6" s="4" t="s">
        <v>34</v>
      </c>
      <c r="D6" s="4" t="s">
        <v>36</v>
      </c>
      <c r="E6" s="4" t="s">
        <v>46</v>
      </c>
      <c r="F6" s="4" t="s">
        <v>38</v>
      </c>
      <c r="G6" s="4" t="s">
        <v>44</v>
      </c>
      <c r="H6" s="4" t="s">
        <v>33</v>
      </c>
      <c r="I6" s="4" t="s">
        <v>35</v>
      </c>
      <c r="J6" s="4" t="s">
        <v>38</v>
      </c>
      <c r="K6" s="4" t="s">
        <v>48</v>
      </c>
      <c r="L6" s="4" t="s">
        <v>30</v>
      </c>
      <c r="M6" s="4" t="s">
        <v>38</v>
      </c>
      <c r="N6" s="4" t="s">
        <v>40</v>
      </c>
      <c r="O6" s="4" t="s">
        <v>30</v>
      </c>
      <c r="P6" s="4" t="s">
        <v>34</v>
      </c>
      <c r="Q6" s="4" t="s">
        <v>52</v>
      </c>
    </row>
    <row r="7" spans="2:17" x14ac:dyDescent="0.25">
      <c r="B7" s="4" t="s">
        <v>36</v>
      </c>
      <c r="C7" s="4" t="s">
        <v>41</v>
      </c>
      <c r="D7" s="4" t="s">
        <v>39</v>
      </c>
      <c r="E7" s="4" t="s">
        <v>40</v>
      </c>
      <c r="F7" s="4" t="s">
        <v>48</v>
      </c>
      <c r="G7" s="4" t="s">
        <v>33</v>
      </c>
      <c r="H7" s="4" t="s">
        <v>29</v>
      </c>
      <c r="I7" s="4" t="s">
        <v>32</v>
      </c>
      <c r="J7" s="4" t="s">
        <v>44</v>
      </c>
      <c r="K7" s="4" t="s">
        <v>50</v>
      </c>
      <c r="L7" s="4" t="s">
        <v>28</v>
      </c>
      <c r="M7" s="4" t="s">
        <v>35</v>
      </c>
      <c r="N7" s="4" t="s">
        <v>41</v>
      </c>
      <c r="O7" s="4" t="s">
        <v>34</v>
      </c>
      <c r="P7" s="4" t="s">
        <v>46</v>
      </c>
      <c r="Q7" s="4" t="s">
        <v>42</v>
      </c>
    </row>
    <row r="8" spans="2:17" x14ac:dyDescent="0.25">
      <c r="B8" s="4" t="s">
        <v>41</v>
      </c>
      <c r="C8" s="4" t="s">
        <v>30</v>
      </c>
      <c r="D8" s="4" t="s">
        <v>51</v>
      </c>
      <c r="E8" s="4" t="s">
        <v>36</v>
      </c>
      <c r="F8" s="4" t="s">
        <v>44</v>
      </c>
      <c r="G8" s="4" t="s">
        <v>35</v>
      </c>
      <c r="H8" s="4" t="s">
        <v>44</v>
      </c>
      <c r="I8" s="4" t="s">
        <v>33</v>
      </c>
      <c r="J8" s="4" t="s">
        <v>40</v>
      </c>
      <c r="K8" s="4" t="s">
        <v>51</v>
      </c>
      <c r="L8" s="4" t="s">
        <v>40</v>
      </c>
      <c r="M8" s="4" t="s">
        <v>37</v>
      </c>
      <c r="N8" s="4" t="s">
        <v>31</v>
      </c>
      <c r="O8" s="4" t="s">
        <v>41</v>
      </c>
      <c r="P8" s="4" t="s">
        <v>50</v>
      </c>
      <c r="Q8" s="4" t="s">
        <v>50</v>
      </c>
    </row>
    <row r="9" spans="2:17" x14ac:dyDescent="0.25">
      <c r="B9" s="4" t="s">
        <v>52</v>
      </c>
      <c r="C9" s="4" t="s">
        <v>39</v>
      </c>
      <c r="D9" s="4" t="s">
        <v>30</v>
      </c>
      <c r="E9" s="4" t="s">
        <v>48</v>
      </c>
      <c r="F9" s="4" t="s">
        <v>31</v>
      </c>
      <c r="G9" s="4" t="s">
        <v>40</v>
      </c>
      <c r="H9" s="4" t="s">
        <v>29</v>
      </c>
      <c r="I9" s="4" t="s">
        <v>32</v>
      </c>
      <c r="J9" s="4" t="s">
        <v>42</v>
      </c>
      <c r="K9" s="4" t="s">
        <v>35</v>
      </c>
      <c r="L9" s="4" t="s">
        <v>42</v>
      </c>
      <c r="M9" s="4" t="s">
        <v>32</v>
      </c>
      <c r="N9" s="4" t="s">
        <v>36</v>
      </c>
      <c r="O9" s="4" t="s">
        <v>31</v>
      </c>
      <c r="P9" s="4" t="s">
        <v>51</v>
      </c>
      <c r="Q9" s="4" t="s">
        <v>40</v>
      </c>
    </row>
    <row r="10" spans="2:17" x14ac:dyDescent="0.25">
      <c r="B10" s="4" t="s">
        <v>49</v>
      </c>
      <c r="C10" s="4" t="s">
        <v>37</v>
      </c>
      <c r="D10" s="4" t="s">
        <v>30</v>
      </c>
      <c r="E10" s="4" t="s">
        <v>38</v>
      </c>
      <c r="F10" s="4" t="s">
        <v>52</v>
      </c>
      <c r="G10" s="4" t="s">
        <v>39</v>
      </c>
      <c r="H10" s="4" t="s">
        <v>35</v>
      </c>
      <c r="I10" s="4" t="s">
        <v>36</v>
      </c>
      <c r="J10" s="4" t="s">
        <v>48</v>
      </c>
      <c r="K10" s="4" t="s">
        <v>39</v>
      </c>
      <c r="L10" s="4" t="s">
        <v>28</v>
      </c>
      <c r="M10" s="4" t="s">
        <v>38</v>
      </c>
      <c r="N10" s="4" t="s">
        <v>43</v>
      </c>
      <c r="O10" s="4" t="s">
        <v>38</v>
      </c>
      <c r="P10" s="4" t="s">
        <v>36</v>
      </c>
      <c r="Q10" s="4" t="s">
        <v>35</v>
      </c>
    </row>
    <row r="11" spans="2:17" x14ac:dyDescent="0.25">
      <c r="B11" s="4" t="s">
        <v>32</v>
      </c>
      <c r="C11" s="4" t="s">
        <v>50</v>
      </c>
      <c r="D11" s="4" t="s">
        <v>44</v>
      </c>
      <c r="E11" s="4" t="s">
        <v>39</v>
      </c>
      <c r="F11" s="4" t="s">
        <v>51</v>
      </c>
      <c r="G11" s="4" t="s">
        <v>39</v>
      </c>
      <c r="H11" s="4" t="s">
        <v>41</v>
      </c>
      <c r="I11" s="4" t="s">
        <v>52</v>
      </c>
      <c r="J11" s="4" t="s">
        <v>40</v>
      </c>
      <c r="K11" s="4" t="s">
        <v>40</v>
      </c>
      <c r="L11" s="4" t="s">
        <v>39</v>
      </c>
      <c r="M11" s="4" t="s">
        <v>51</v>
      </c>
      <c r="N11" s="4" t="s">
        <v>40</v>
      </c>
      <c r="O11" s="4" t="s">
        <v>50</v>
      </c>
      <c r="P11" s="4" t="s">
        <v>32</v>
      </c>
      <c r="Q11" s="4" t="s">
        <v>51</v>
      </c>
    </row>
    <row r="12" spans="2:17" x14ac:dyDescent="0.25">
      <c r="B12" s="4" t="s">
        <v>38</v>
      </c>
      <c r="C12" s="4" t="s">
        <v>33</v>
      </c>
      <c r="D12" s="4" t="s">
        <v>53</v>
      </c>
      <c r="E12" s="4" t="s">
        <v>39</v>
      </c>
      <c r="F12" s="4" t="s">
        <v>30</v>
      </c>
      <c r="G12" s="4" t="s">
        <v>44</v>
      </c>
      <c r="H12" s="4" t="s">
        <v>48</v>
      </c>
      <c r="I12" s="4" t="s">
        <v>38</v>
      </c>
      <c r="J12" s="4" t="s">
        <v>45</v>
      </c>
      <c r="K12" s="4" t="s">
        <v>47</v>
      </c>
      <c r="L12" s="4" t="s">
        <v>46</v>
      </c>
      <c r="M12" s="4" t="s">
        <v>53</v>
      </c>
      <c r="N12" s="4" t="s">
        <v>43</v>
      </c>
      <c r="O12" s="4" t="s">
        <v>41</v>
      </c>
      <c r="P12" s="4" t="s">
        <v>47</v>
      </c>
      <c r="Q12" s="4" t="s">
        <v>48</v>
      </c>
    </row>
    <row r="13" spans="2:17" x14ac:dyDescent="0.25">
      <c r="B13" s="4" t="s">
        <v>39</v>
      </c>
      <c r="C13" s="4" t="s">
        <v>51</v>
      </c>
      <c r="D13" s="4" t="s">
        <v>43</v>
      </c>
      <c r="E13" s="4" t="s">
        <v>28</v>
      </c>
      <c r="F13" s="4" t="s">
        <v>42</v>
      </c>
      <c r="G13" s="4" t="s">
        <v>46</v>
      </c>
      <c r="H13" s="4" t="s">
        <v>43</v>
      </c>
      <c r="I13" s="4" t="s">
        <v>42</v>
      </c>
      <c r="J13" s="4" t="s">
        <v>44</v>
      </c>
      <c r="K13" s="4" t="s">
        <v>44</v>
      </c>
      <c r="L13" s="4" t="s">
        <v>49</v>
      </c>
      <c r="M13" s="4" t="s">
        <v>31</v>
      </c>
      <c r="N13" s="4" t="s">
        <v>40</v>
      </c>
      <c r="O13" s="4" t="s">
        <v>31</v>
      </c>
      <c r="P13" s="4" t="s">
        <v>40</v>
      </c>
      <c r="Q13" s="4" t="s">
        <v>28</v>
      </c>
    </row>
    <row r="14" spans="2:17" x14ac:dyDescent="0.25">
      <c r="B14" s="4" t="s">
        <v>32</v>
      </c>
      <c r="C14" s="4" t="s">
        <v>38</v>
      </c>
      <c r="D14" s="4" t="s">
        <v>33</v>
      </c>
      <c r="E14" s="4" t="s">
        <v>36</v>
      </c>
      <c r="F14" s="4" t="s">
        <v>47</v>
      </c>
      <c r="G14" s="4" t="s">
        <v>29</v>
      </c>
      <c r="H14" s="4" t="s">
        <v>34</v>
      </c>
      <c r="I14" s="4" t="s">
        <v>28</v>
      </c>
      <c r="J14" s="4" t="s">
        <v>43</v>
      </c>
      <c r="K14" s="4" t="s">
        <v>32</v>
      </c>
      <c r="L14" s="4" t="s">
        <v>36</v>
      </c>
      <c r="M14" s="4" t="s">
        <v>44</v>
      </c>
      <c r="N14" s="4" t="s">
        <v>41</v>
      </c>
      <c r="O14" s="4" t="s">
        <v>38</v>
      </c>
      <c r="P14" s="4" t="s">
        <v>42</v>
      </c>
      <c r="Q14" s="4" t="s">
        <v>43</v>
      </c>
    </row>
    <row r="15" spans="2:17" x14ac:dyDescent="0.25">
      <c r="B15" s="4" t="s">
        <v>51</v>
      </c>
      <c r="C15" s="4" t="s">
        <v>52</v>
      </c>
      <c r="D15" s="4" t="s">
        <v>31</v>
      </c>
      <c r="E15" s="4" t="s">
        <v>41</v>
      </c>
      <c r="F15" s="4" t="s">
        <v>39</v>
      </c>
      <c r="G15" s="4" t="s">
        <v>33</v>
      </c>
      <c r="H15" s="4" t="s">
        <v>48</v>
      </c>
      <c r="I15" s="4" t="s">
        <v>43</v>
      </c>
      <c r="J15" s="4" t="s">
        <v>42</v>
      </c>
      <c r="K15" s="4" t="s">
        <v>33</v>
      </c>
      <c r="L15" s="4" t="s">
        <v>33</v>
      </c>
      <c r="M15" s="4" t="s">
        <v>48</v>
      </c>
      <c r="N15" s="4" t="s">
        <v>51</v>
      </c>
      <c r="O15" s="4" t="s">
        <v>29</v>
      </c>
      <c r="P15" s="4" t="s">
        <v>35</v>
      </c>
      <c r="Q15" s="4" t="s">
        <v>32</v>
      </c>
    </row>
    <row r="16" spans="2:17" x14ac:dyDescent="0.25">
      <c r="B16" s="4" t="s">
        <v>51</v>
      </c>
      <c r="C16" s="4" t="s">
        <v>53</v>
      </c>
      <c r="D16" s="4" t="s">
        <v>38</v>
      </c>
      <c r="E16" s="4" t="s">
        <v>48</v>
      </c>
      <c r="F16" s="4" t="s">
        <v>53</v>
      </c>
      <c r="G16" s="4" t="s">
        <v>51</v>
      </c>
      <c r="H16" s="4" t="s">
        <v>51</v>
      </c>
      <c r="I16" s="4" t="s">
        <v>48</v>
      </c>
      <c r="J16" s="4" t="s">
        <v>30</v>
      </c>
      <c r="K16" s="4" t="s">
        <v>42</v>
      </c>
      <c r="L16" s="4" t="s">
        <v>39</v>
      </c>
      <c r="M16" s="4" t="s">
        <v>51</v>
      </c>
      <c r="N16" s="4" t="s">
        <v>48</v>
      </c>
      <c r="O16" s="4" t="s">
        <v>49</v>
      </c>
      <c r="P16" s="4" t="s">
        <v>31</v>
      </c>
      <c r="Q16" s="4" t="s">
        <v>51</v>
      </c>
    </row>
    <row r="17" spans="2:17" x14ac:dyDescent="0.25">
      <c r="B17" s="4" t="s">
        <v>39</v>
      </c>
      <c r="C17" s="4" t="s">
        <v>37</v>
      </c>
      <c r="D17" s="4" t="s">
        <v>35</v>
      </c>
      <c r="E17" s="4" t="s">
        <v>45</v>
      </c>
      <c r="F17" s="4" t="s">
        <v>35</v>
      </c>
      <c r="G17" s="4" t="s">
        <v>33</v>
      </c>
      <c r="H17" s="4" t="s">
        <v>47</v>
      </c>
      <c r="I17" s="4" t="s">
        <v>45</v>
      </c>
      <c r="J17" s="4" t="s">
        <v>32</v>
      </c>
      <c r="K17" s="4" t="s">
        <v>42</v>
      </c>
      <c r="L17" s="4" t="s">
        <v>42</v>
      </c>
      <c r="M17" s="4" t="s">
        <v>30</v>
      </c>
      <c r="N17" s="4" t="s">
        <v>47</v>
      </c>
      <c r="O17" s="4" t="s">
        <v>41</v>
      </c>
      <c r="P17" s="4" t="s">
        <v>44</v>
      </c>
      <c r="Q17" s="4" t="s">
        <v>30</v>
      </c>
    </row>
    <row r="18" spans="2:17" x14ac:dyDescent="0.25">
      <c r="B18" s="4" t="s">
        <v>36</v>
      </c>
      <c r="C18" s="4" t="s">
        <v>53</v>
      </c>
      <c r="D18" s="4" t="s">
        <v>46</v>
      </c>
      <c r="E18" s="4" t="s">
        <v>34</v>
      </c>
      <c r="F18" s="4" t="s">
        <v>38</v>
      </c>
      <c r="G18" s="4" t="s">
        <v>52</v>
      </c>
      <c r="H18" s="4" t="s">
        <v>34</v>
      </c>
      <c r="I18" s="4" t="s">
        <v>53</v>
      </c>
      <c r="J18" s="4" t="s">
        <v>46</v>
      </c>
      <c r="K18" s="4" t="s">
        <v>51</v>
      </c>
      <c r="L18" s="4" t="s">
        <v>49</v>
      </c>
      <c r="M18" s="4" t="s">
        <v>37</v>
      </c>
      <c r="N18" s="4" t="s">
        <v>36</v>
      </c>
      <c r="O18" s="4" t="s">
        <v>43</v>
      </c>
      <c r="P18" s="4" t="s">
        <v>46</v>
      </c>
      <c r="Q18" s="4" t="s">
        <v>41</v>
      </c>
    </row>
    <row r="19" spans="2:17" x14ac:dyDescent="0.25">
      <c r="B19" s="1"/>
      <c r="C19" s="1"/>
      <c r="D19" s="1"/>
      <c r="E19" s="1"/>
      <c r="F19" s="1"/>
      <c r="G19" s="1"/>
      <c r="H19" s="1"/>
      <c r="I19" s="1"/>
      <c r="J19" s="1"/>
      <c r="K19" s="1"/>
      <c r="L19" s="1"/>
      <c r="M19" s="1"/>
      <c r="N19" s="1"/>
      <c r="O19" s="1"/>
      <c r="P19" s="1"/>
      <c r="Q19" s="1"/>
    </row>
    <row r="20" spans="2:17" x14ac:dyDescent="0.25">
      <c r="B20" s="1"/>
      <c r="C20" s="1"/>
      <c r="D20" s="53" t="s">
        <v>55</v>
      </c>
      <c r="E20" s="53"/>
      <c r="F20" s="53"/>
      <c r="G20" s="53"/>
      <c r="H20" s="53"/>
      <c r="I20" s="53"/>
      <c r="J20" s="53"/>
      <c r="K20" s="53"/>
      <c r="L20" s="53"/>
      <c r="M20" s="53"/>
      <c r="N20" s="53"/>
      <c r="O20" s="53"/>
      <c r="P20" s="53"/>
      <c r="Q20" s="1"/>
    </row>
    <row r="21" spans="2:17" ht="15.75" thickBot="1" x14ac:dyDescent="0.3">
      <c r="B21" s="1"/>
      <c r="C21" s="1"/>
      <c r="D21" s="53"/>
      <c r="E21" s="53"/>
      <c r="F21" s="53"/>
      <c r="G21" s="53"/>
      <c r="H21" s="53"/>
      <c r="I21" s="53"/>
      <c r="J21" s="53"/>
      <c r="K21" s="53"/>
      <c r="L21" s="53"/>
      <c r="M21" s="53"/>
      <c r="N21" s="53"/>
      <c r="O21" s="53"/>
      <c r="P21" s="53"/>
      <c r="Q21" s="1"/>
    </row>
    <row r="22" spans="2:17" x14ac:dyDescent="0.25">
      <c r="B22" s="45"/>
      <c r="C22" s="35"/>
      <c r="D22" s="35"/>
      <c r="E22" s="36"/>
      <c r="F22" s="46"/>
      <c r="G22" s="47"/>
      <c r="H22" s="35"/>
      <c r="I22" s="36"/>
    </row>
    <row r="23" spans="2:17" ht="15" customHeight="1" x14ac:dyDescent="0.25">
      <c r="B23" s="41"/>
      <c r="C23" s="37"/>
      <c r="D23" s="37"/>
      <c r="E23" s="38"/>
      <c r="F23" s="48"/>
      <c r="G23" s="49"/>
      <c r="H23" s="37"/>
      <c r="I23" s="38"/>
      <c r="K23" s="54" t="s">
        <v>56</v>
      </c>
      <c r="L23" s="54"/>
      <c r="M23" s="54"/>
      <c r="N23" s="54"/>
      <c r="O23" s="54"/>
      <c r="P23" s="54"/>
      <c r="Q23" s="54"/>
    </row>
    <row r="24" spans="2:17" x14ac:dyDescent="0.25">
      <c r="B24" s="41">
        <v>4</v>
      </c>
      <c r="C24" s="37"/>
      <c r="D24" s="37">
        <v>2</v>
      </c>
      <c r="E24" s="38"/>
      <c r="F24" s="41"/>
      <c r="G24" s="37"/>
      <c r="H24" s="37">
        <v>1</v>
      </c>
      <c r="I24" s="38"/>
      <c r="K24" s="54"/>
      <c r="L24" s="54"/>
      <c r="M24" s="54"/>
      <c r="N24" s="54"/>
      <c r="O24" s="54"/>
      <c r="P24" s="54"/>
      <c r="Q24" s="54"/>
    </row>
    <row r="25" spans="2:17" ht="15.75" thickBot="1" x14ac:dyDescent="0.3">
      <c r="B25" s="42"/>
      <c r="C25" s="43"/>
      <c r="D25" s="43"/>
      <c r="E25" s="44"/>
      <c r="F25" s="42"/>
      <c r="G25" s="43"/>
      <c r="H25" s="43"/>
      <c r="I25" s="44"/>
      <c r="K25" s="54"/>
      <c r="L25" s="54"/>
      <c r="M25" s="54"/>
      <c r="N25" s="54"/>
      <c r="O25" s="54"/>
      <c r="P25" s="54"/>
      <c r="Q25" s="54"/>
    </row>
    <row r="26" spans="2:17" x14ac:dyDescent="0.25">
      <c r="B26" s="45">
        <v>1</v>
      </c>
      <c r="C26" s="35"/>
      <c r="D26" s="35"/>
      <c r="E26" s="36"/>
      <c r="F26" s="45">
        <v>2</v>
      </c>
      <c r="G26" s="35"/>
      <c r="H26" s="35">
        <v>4</v>
      </c>
      <c r="I26" s="36"/>
      <c r="K26" s="54"/>
      <c r="L26" s="54"/>
      <c r="M26" s="54"/>
      <c r="N26" s="54"/>
      <c r="O26" s="54"/>
      <c r="P26" s="54"/>
      <c r="Q26" s="54"/>
    </row>
    <row r="27" spans="2:17" x14ac:dyDescent="0.25">
      <c r="B27" s="41"/>
      <c r="C27" s="37"/>
      <c r="D27" s="37"/>
      <c r="E27" s="38"/>
      <c r="F27" s="41"/>
      <c r="G27" s="37"/>
      <c r="H27" s="37"/>
      <c r="I27" s="38"/>
      <c r="K27" s="54"/>
      <c r="L27" s="54"/>
      <c r="M27" s="54"/>
      <c r="N27" s="54"/>
      <c r="O27" s="54"/>
      <c r="P27" s="54"/>
      <c r="Q27" s="54"/>
    </row>
    <row r="28" spans="2:17" x14ac:dyDescent="0.25">
      <c r="B28" s="41"/>
      <c r="C28" s="37"/>
      <c r="D28" s="37"/>
      <c r="E28" s="38"/>
      <c r="F28" s="41"/>
      <c r="G28" s="37"/>
      <c r="H28" s="37"/>
      <c r="I28" s="38"/>
      <c r="K28" s="54"/>
      <c r="L28" s="54"/>
      <c r="M28" s="54"/>
      <c r="N28" s="54"/>
      <c r="O28" s="54"/>
      <c r="P28" s="54"/>
      <c r="Q28" s="54"/>
    </row>
    <row r="29" spans="2:17" ht="15.75" thickBot="1" x14ac:dyDescent="0.3">
      <c r="B29" s="42"/>
      <c r="C29" s="43"/>
      <c r="D29" s="43"/>
      <c r="E29" s="44"/>
      <c r="F29" s="42"/>
      <c r="G29" s="43"/>
      <c r="H29" s="43"/>
      <c r="I29" s="44"/>
    </row>
  </sheetData>
  <mergeCells count="19">
    <mergeCell ref="D2:P3"/>
    <mergeCell ref="H22:I23"/>
    <mergeCell ref="F22:G23"/>
    <mergeCell ref="F24:G25"/>
    <mergeCell ref="H24:I25"/>
    <mergeCell ref="D22:E23"/>
    <mergeCell ref="D24:E25"/>
    <mergeCell ref="D20:P21"/>
    <mergeCell ref="K23:Q28"/>
    <mergeCell ref="F26:G27"/>
    <mergeCell ref="H26:I27"/>
    <mergeCell ref="D26:E27"/>
    <mergeCell ref="F28:G29"/>
    <mergeCell ref="H28:I29"/>
    <mergeCell ref="B28:C29"/>
    <mergeCell ref="D28:E29"/>
    <mergeCell ref="B22:C23"/>
    <mergeCell ref="B24:C25"/>
    <mergeCell ref="B26:C27"/>
  </mergeCells>
  <pageMargins left="0.70866141732283472" right="0.70866141732283472" top="0.74803149606299213" bottom="0.74803149606299213" header="0.31496062992125984" footer="0.31496062992125984"/>
  <pageSetup scale="150" orientation="portrait" horizontalDpi="4294967293" r:id="rId1"/>
  <headerFooter>
    <oddHeader>&amp;R&amp;"Aptos"&amp;12&amp;K000000 UNCLASSIFIED - NON CLASSIFIÉ&amp;1#_x000D_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AF56D-3771-45EA-B0C5-14F1F62B7279}">
  <sheetPr>
    <tabColor theme="8"/>
  </sheetPr>
  <dimension ref="B2:Q31"/>
  <sheetViews>
    <sheetView showGridLines="0" workbookViewId="0">
      <selection activeCell="V39" sqref="V39"/>
    </sheetView>
  </sheetViews>
  <sheetFormatPr defaultRowHeight="15" x14ac:dyDescent="0.25"/>
  <cols>
    <col min="1" max="1" width="3.85546875" customWidth="1"/>
    <col min="2" max="17" width="3.28515625" customWidth="1"/>
  </cols>
  <sheetData>
    <row r="2" spans="2:17" x14ac:dyDescent="0.25">
      <c r="D2" s="53" t="s">
        <v>54</v>
      </c>
      <c r="E2" s="53"/>
      <c r="F2" s="53"/>
      <c r="G2" s="53"/>
      <c r="H2" s="53"/>
      <c r="I2" s="53"/>
      <c r="J2" s="53"/>
      <c r="K2" s="53"/>
      <c r="L2" s="53"/>
      <c r="M2" s="53"/>
      <c r="N2" s="53"/>
      <c r="O2" s="53"/>
      <c r="P2" s="53"/>
    </row>
    <row r="3" spans="2:17" x14ac:dyDescent="0.25">
      <c r="D3" s="53"/>
      <c r="E3" s="53"/>
      <c r="F3" s="53"/>
      <c r="G3" s="53"/>
      <c r="H3" s="53"/>
      <c r="I3" s="53"/>
      <c r="J3" s="53"/>
      <c r="K3" s="53"/>
      <c r="L3" s="53"/>
      <c r="M3" s="53"/>
      <c r="N3" s="53"/>
      <c r="O3" s="53"/>
      <c r="P3" s="53"/>
    </row>
    <row r="4" spans="2:17" x14ac:dyDescent="0.25">
      <c r="B4" s="4" t="s">
        <v>28</v>
      </c>
      <c r="C4" s="4" t="s">
        <v>29</v>
      </c>
      <c r="D4" s="4" t="s">
        <v>30</v>
      </c>
      <c r="E4" s="4" t="s">
        <v>30</v>
      </c>
      <c r="F4" s="4" t="s">
        <v>31</v>
      </c>
      <c r="G4" s="4" t="s">
        <v>32</v>
      </c>
      <c r="H4" s="4" t="s">
        <v>33</v>
      </c>
      <c r="I4" s="4" t="s">
        <v>34</v>
      </c>
      <c r="J4" s="4" t="s">
        <v>35</v>
      </c>
      <c r="K4" s="4" t="s">
        <v>36</v>
      </c>
      <c r="L4" s="4" t="s">
        <v>37</v>
      </c>
      <c r="M4" s="4" t="s">
        <v>38</v>
      </c>
      <c r="N4" s="4" t="s">
        <v>39</v>
      </c>
      <c r="O4" s="4" t="s">
        <v>40</v>
      </c>
      <c r="P4" s="4" t="s">
        <v>41</v>
      </c>
      <c r="Q4" s="4" t="s">
        <v>41</v>
      </c>
    </row>
    <row r="5" spans="2:17" x14ac:dyDescent="0.25">
      <c r="B5" s="4" t="s">
        <v>35</v>
      </c>
      <c r="C5" s="4" t="s">
        <v>51</v>
      </c>
      <c r="D5" s="4" t="s">
        <v>33</v>
      </c>
      <c r="E5" s="4" t="s">
        <v>35</v>
      </c>
      <c r="F5" s="4" t="s">
        <v>33</v>
      </c>
      <c r="G5" s="4" t="s">
        <v>51</v>
      </c>
      <c r="H5" s="4" t="s">
        <v>43</v>
      </c>
      <c r="I5" s="4" t="s">
        <v>30</v>
      </c>
      <c r="J5" s="4" t="s">
        <v>37</v>
      </c>
      <c r="K5" s="4" t="s">
        <v>46</v>
      </c>
      <c r="L5" s="4" t="s">
        <v>32</v>
      </c>
      <c r="M5" s="4" t="s">
        <v>32</v>
      </c>
      <c r="N5" s="4" t="s">
        <v>32</v>
      </c>
      <c r="O5" s="4" t="s">
        <v>38</v>
      </c>
      <c r="P5" s="4" t="s">
        <v>36</v>
      </c>
      <c r="Q5" s="4" t="s">
        <v>36</v>
      </c>
    </row>
    <row r="6" spans="2:17" x14ac:dyDescent="0.25">
      <c r="B6" s="4" t="s">
        <v>43</v>
      </c>
      <c r="C6" s="4" t="s">
        <v>34</v>
      </c>
      <c r="D6" s="4" t="s">
        <v>36</v>
      </c>
      <c r="E6" s="4" t="s">
        <v>46</v>
      </c>
      <c r="F6" s="4" t="s">
        <v>38</v>
      </c>
      <c r="G6" s="4" t="s">
        <v>44</v>
      </c>
      <c r="H6" s="4" t="s">
        <v>33</v>
      </c>
      <c r="I6" s="4" t="s">
        <v>35</v>
      </c>
      <c r="J6" s="4" t="s">
        <v>38</v>
      </c>
      <c r="K6" s="4" t="s">
        <v>48</v>
      </c>
      <c r="L6" s="4" t="s">
        <v>30</v>
      </c>
      <c r="M6" s="4" t="s">
        <v>38</v>
      </c>
      <c r="N6" s="4" t="s">
        <v>40</v>
      </c>
      <c r="O6" s="4" t="s">
        <v>30</v>
      </c>
      <c r="P6" s="4" t="s">
        <v>34</v>
      </c>
      <c r="Q6" s="4" t="s">
        <v>34</v>
      </c>
    </row>
    <row r="7" spans="2:17" x14ac:dyDescent="0.25">
      <c r="B7" s="4" t="s">
        <v>36</v>
      </c>
      <c r="C7" s="4" t="s">
        <v>41</v>
      </c>
      <c r="D7" s="4" t="s">
        <v>39</v>
      </c>
      <c r="E7" s="4" t="s">
        <v>40</v>
      </c>
      <c r="F7" s="4" t="s">
        <v>48</v>
      </c>
      <c r="G7" s="4" t="s">
        <v>33</v>
      </c>
      <c r="H7" s="4" t="s">
        <v>29</v>
      </c>
      <c r="I7" s="4" t="s">
        <v>32</v>
      </c>
      <c r="J7" s="4" t="s">
        <v>44</v>
      </c>
      <c r="K7" s="4" t="s">
        <v>50</v>
      </c>
      <c r="L7" s="4" t="s">
        <v>28</v>
      </c>
      <c r="M7" s="4" t="s">
        <v>35</v>
      </c>
      <c r="N7" s="4" t="s">
        <v>41</v>
      </c>
      <c r="O7" s="4" t="s">
        <v>34</v>
      </c>
      <c r="P7" s="4" t="s">
        <v>46</v>
      </c>
      <c r="Q7" s="4" t="s">
        <v>46</v>
      </c>
    </row>
    <row r="8" spans="2:17" x14ac:dyDescent="0.25">
      <c r="B8" s="4" t="s">
        <v>41</v>
      </c>
      <c r="C8" s="4" t="s">
        <v>30</v>
      </c>
      <c r="D8" s="4" t="s">
        <v>51</v>
      </c>
      <c r="E8" s="4" t="s">
        <v>36</v>
      </c>
      <c r="F8" s="4" t="s">
        <v>44</v>
      </c>
      <c r="G8" s="4" t="s">
        <v>35</v>
      </c>
      <c r="H8" s="4" t="s">
        <v>44</v>
      </c>
      <c r="I8" s="4" t="s">
        <v>33</v>
      </c>
      <c r="J8" s="4" t="s">
        <v>40</v>
      </c>
      <c r="K8" s="4" t="s">
        <v>51</v>
      </c>
      <c r="L8" s="4" t="s">
        <v>40</v>
      </c>
      <c r="M8" s="4" t="s">
        <v>37</v>
      </c>
      <c r="N8" s="4" t="s">
        <v>31</v>
      </c>
      <c r="O8" s="4" t="s">
        <v>41</v>
      </c>
      <c r="P8" s="4" t="s">
        <v>50</v>
      </c>
      <c r="Q8" s="4" t="s">
        <v>50</v>
      </c>
    </row>
    <row r="9" spans="2:17" x14ac:dyDescent="0.25">
      <c r="B9" s="4" t="s">
        <v>52</v>
      </c>
      <c r="C9" s="4" t="s">
        <v>39</v>
      </c>
      <c r="D9" s="4" t="s">
        <v>30</v>
      </c>
      <c r="E9" s="4" t="s">
        <v>48</v>
      </c>
      <c r="F9" s="4" t="s">
        <v>31</v>
      </c>
      <c r="G9" s="4" t="s">
        <v>40</v>
      </c>
      <c r="H9" s="4" t="s">
        <v>29</v>
      </c>
      <c r="I9" s="4" t="s">
        <v>32</v>
      </c>
      <c r="J9" s="4" t="s">
        <v>42</v>
      </c>
      <c r="K9" s="4" t="s">
        <v>35</v>
      </c>
      <c r="L9" s="4" t="s">
        <v>42</v>
      </c>
      <c r="M9" s="4" t="s">
        <v>32</v>
      </c>
      <c r="N9" s="4" t="s">
        <v>36</v>
      </c>
      <c r="O9" s="4" t="s">
        <v>31</v>
      </c>
      <c r="P9" s="4" t="s">
        <v>51</v>
      </c>
      <c r="Q9" s="4" t="s">
        <v>51</v>
      </c>
    </row>
    <row r="10" spans="2:17" x14ac:dyDescent="0.25">
      <c r="B10" s="4" t="s">
        <v>49</v>
      </c>
      <c r="C10" s="4" t="s">
        <v>37</v>
      </c>
      <c r="D10" s="4" t="s">
        <v>30</v>
      </c>
      <c r="E10" s="4" t="s">
        <v>38</v>
      </c>
      <c r="F10" s="4" t="s">
        <v>52</v>
      </c>
      <c r="G10" s="4" t="s">
        <v>39</v>
      </c>
      <c r="H10" s="4" t="s">
        <v>35</v>
      </c>
      <c r="I10" s="4" t="s">
        <v>36</v>
      </c>
      <c r="J10" s="4" t="s">
        <v>48</v>
      </c>
      <c r="K10" s="4" t="s">
        <v>39</v>
      </c>
      <c r="L10" s="4" t="s">
        <v>28</v>
      </c>
      <c r="M10" s="4" t="s">
        <v>38</v>
      </c>
      <c r="N10" s="4" t="s">
        <v>43</v>
      </c>
      <c r="O10" s="4" t="s">
        <v>38</v>
      </c>
      <c r="P10" s="4" t="s">
        <v>36</v>
      </c>
      <c r="Q10" s="4" t="s">
        <v>36</v>
      </c>
    </row>
    <row r="11" spans="2:17" x14ac:dyDescent="0.25">
      <c r="B11" s="4" t="s">
        <v>32</v>
      </c>
      <c r="C11" s="4" t="s">
        <v>50</v>
      </c>
      <c r="D11" s="4" t="s">
        <v>44</v>
      </c>
      <c r="E11" s="4" t="s">
        <v>39</v>
      </c>
      <c r="F11" s="4" t="s">
        <v>51</v>
      </c>
      <c r="G11" s="4" t="s">
        <v>39</v>
      </c>
      <c r="H11" s="4" t="s">
        <v>41</v>
      </c>
      <c r="I11" s="4" t="s">
        <v>52</v>
      </c>
      <c r="J11" s="4" t="s">
        <v>40</v>
      </c>
      <c r="K11" s="4" t="s">
        <v>40</v>
      </c>
      <c r="L11" s="4" t="s">
        <v>39</v>
      </c>
      <c r="M11" s="4" t="s">
        <v>51</v>
      </c>
      <c r="N11" s="4" t="s">
        <v>40</v>
      </c>
      <c r="O11" s="4" t="s">
        <v>50</v>
      </c>
      <c r="P11" s="4" t="s">
        <v>32</v>
      </c>
      <c r="Q11" s="4" t="s">
        <v>32</v>
      </c>
    </row>
    <row r="12" spans="2:17" x14ac:dyDescent="0.25">
      <c r="B12" s="4" t="s">
        <v>38</v>
      </c>
      <c r="C12" s="4" t="s">
        <v>33</v>
      </c>
      <c r="D12" s="4" t="s">
        <v>53</v>
      </c>
      <c r="E12" s="4" t="s">
        <v>39</v>
      </c>
      <c r="F12" s="4" t="s">
        <v>30</v>
      </c>
      <c r="G12" s="4" t="s">
        <v>44</v>
      </c>
      <c r="H12" s="4" t="s">
        <v>48</v>
      </c>
      <c r="I12" s="4" t="s">
        <v>38</v>
      </c>
      <c r="J12" s="4" t="s">
        <v>45</v>
      </c>
      <c r="K12" s="4" t="s">
        <v>47</v>
      </c>
      <c r="L12" s="4" t="s">
        <v>46</v>
      </c>
      <c r="M12" s="4" t="s">
        <v>53</v>
      </c>
      <c r="N12" s="4" t="s">
        <v>43</v>
      </c>
      <c r="O12" s="4" t="s">
        <v>41</v>
      </c>
      <c r="P12" s="4" t="s">
        <v>47</v>
      </c>
      <c r="Q12" s="4" t="s">
        <v>47</v>
      </c>
    </row>
    <row r="13" spans="2:17" x14ac:dyDescent="0.25">
      <c r="B13" s="4" t="s">
        <v>39</v>
      </c>
      <c r="C13" s="4" t="s">
        <v>51</v>
      </c>
      <c r="D13" s="4" t="s">
        <v>43</v>
      </c>
      <c r="E13" s="4" t="s">
        <v>28</v>
      </c>
      <c r="F13" s="4" t="s">
        <v>42</v>
      </c>
      <c r="G13" s="4" t="s">
        <v>46</v>
      </c>
      <c r="H13" s="4" t="s">
        <v>43</v>
      </c>
      <c r="I13" s="4" t="s">
        <v>42</v>
      </c>
      <c r="J13" s="4" t="s">
        <v>44</v>
      </c>
      <c r="K13" s="4" t="s">
        <v>44</v>
      </c>
      <c r="L13" s="4" t="s">
        <v>49</v>
      </c>
      <c r="M13" s="4" t="s">
        <v>31</v>
      </c>
      <c r="N13" s="4" t="s">
        <v>40</v>
      </c>
      <c r="O13" s="4" t="s">
        <v>31</v>
      </c>
      <c r="P13" s="4" t="s">
        <v>40</v>
      </c>
      <c r="Q13" s="4" t="s">
        <v>40</v>
      </c>
    </row>
    <row r="14" spans="2:17" x14ac:dyDescent="0.25">
      <c r="B14" s="4" t="s">
        <v>32</v>
      </c>
      <c r="C14" s="4" t="s">
        <v>38</v>
      </c>
      <c r="D14" s="4" t="s">
        <v>33</v>
      </c>
      <c r="E14" s="4" t="s">
        <v>36</v>
      </c>
      <c r="F14" s="4" t="s">
        <v>47</v>
      </c>
      <c r="G14" s="4" t="s">
        <v>29</v>
      </c>
      <c r="H14" s="4" t="s">
        <v>34</v>
      </c>
      <c r="I14" s="4" t="s">
        <v>28</v>
      </c>
      <c r="J14" s="4" t="s">
        <v>43</v>
      </c>
      <c r="K14" s="4" t="s">
        <v>32</v>
      </c>
      <c r="L14" s="4" t="s">
        <v>36</v>
      </c>
      <c r="M14" s="4" t="s">
        <v>44</v>
      </c>
      <c r="N14" s="4" t="s">
        <v>41</v>
      </c>
      <c r="O14" s="4" t="s">
        <v>38</v>
      </c>
      <c r="P14" s="4" t="s">
        <v>42</v>
      </c>
      <c r="Q14" s="4" t="s">
        <v>42</v>
      </c>
    </row>
    <row r="15" spans="2:17" x14ac:dyDescent="0.25">
      <c r="B15" s="4" t="s">
        <v>51</v>
      </c>
      <c r="C15" s="4" t="s">
        <v>52</v>
      </c>
      <c r="D15" s="4" t="s">
        <v>31</v>
      </c>
      <c r="E15" s="4" t="s">
        <v>41</v>
      </c>
      <c r="F15" s="4" t="s">
        <v>39</v>
      </c>
      <c r="G15" s="4" t="s">
        <v>33</v>
      </c>
      <c r="H15" s="4" t="s">
        <v>48</v>
      </c>
      <c r="I15" s="4" t="s">
        <v>43</v>
      </c>
      <c r="J15" s="4" t="s">
        <v>42</v>
      </c>
      <c r="K15" s="4" t="s">
        <v>33</v>
      </c>
      <c r="L15" s="4" t="s">
        <v>33</v>
      </c>
      <c r="M15" s="4" t="s">
        <v>48</v>
      </c>
      <c r="N15" s="4" t="s">
        <v>51</v>
      </c>
      <c r="O15" s="4" t="s">
        <v>29</v>
      </c>
      <c r="P15" s="4" t="s">
        <v>35</v>
      </c>
      <c r="Q15" s="4" t="s">
        <v>35</v>
      </c>
    </row>
    <row r="16" spans="2:17" x14ac:dyDescent="0.25">
      <c r="B16" s="4" t="s">
        <v>51</v>
      </c>
      <c r="C16" s="4" t="s">
        <v>53</v>
      </c>
      <c r="D16" s="4" t="s">
        <v>38</v>
      </c>
      <c r="E16" s="4" t="s">
        <v>48</v>
      </c>
      <c r="F16" s="4" t="s">
        <v>53</v>
      </c>
      <c r="G16" s="4" t="s">
        <v>51</v>
      </c>
      <c r="H16" s="4" t="s">
        <v>51</v>
      </c>
      <c r="I16" s="4" t="s">
        <v>48</v>
      </c>
      <c r="J16" s="4" t="s">
        <v>30</v>
      </c>
      <c r="K16" s="4" t="s">
        <v>42</v>
      </c>
      <c r="L16" s="4" t="s">
        <v>39</v>
      </c>
      <c r="M16" s="4" t="s">
        <v>51</v>
      </c>
      <c r="N16" s="4" t="s">
        <v>48</v>
      </c>
      <c r="O16" s="4" t="s">
        <v>49</v>
      </c>
      <c r="P16" s="4" t="s">
        <v>31</v>
      </c>
      <c r="Q16" s="4" t="s">
        <v>31</v>
      </c>
    </row>
    <row r="17" spans="2:17" x14ac:dyDescent="0.25">
      <c r="B17" s="4" t="s">
        <v>39</v>
      </c>
      <c r="C17" s="4" t="s">
        <v>37</v>
      </c>
      <c r="D17" s="4" t="s">
        <v>35</v>
      </c>
      <c r="E17" s="4" t="s">
        <v>45</v>
      </c>
      <c r="F17" s="4" t="s">
        <v>35</v>
      </c>
      <c r="G17" s="4" t="s">
        <v>33</v>
      </c>
      <c r="H17" s="4" t="s">
        <v>47</v>
      </c>
      <c r="I17" s="4" t="s">
        <v>45</v>
      </c>
      <c r="J17" s="4" t="s">
        <v>32</v>
      </c>
      <c r="K17" s="4" t="s">
        <v>42</v>
      </c>
      <c r="L17" s="4" t="s">
        <v>42</v>
      </c>
      <c r="M17" s="4" t="s">
        <v>30</v>
      </c>
      <c r="N17" s="4" t="s">
        <v>47</v>
      </c>
      <c r="O17" s="4" t="s">
        <v>41</v>
      </c>
      <c r="P17" s="4" t="s">
        <v>44</v>
      </c>
      <c r="Q17" s="4" t="s">
        <v>44</v>
      </c>
    </row>
    <row r="18" spans="2:17" x14ac:dyDescent="0.25">
      <c r="B18" s="4" t="s">
        <v>36</v>
      </c>
      <c r="C18" s="4" t="s">
        <v>53</v>
      </c>
      <c r="D18" s="4" t="s">
        <v>46</v>
      </c>
      <c r="E18" s="4" t="s">
        <v>34</v>
      </c>
      <c r="F18" s="4" t="s">
        <v>38</v>
      </c>
      <c r="G18" s="4" t="s">
        <v>52</v>
      </c>
      <c r="H18" s="4" t="s">
        <v>34</v>
      </c>
      <c r="I18" s="4" t="s">
        <v>53</v>
      </c>
      <c r="J18" s="4" t="s">
        <v>46</v>
      </c>
      <c r="K18" s="4" t="s">
        <v>51</v>
      </c>
      <c r="L18" s="4" t="s">
        <v>49</v>
      </c>
      <c r="M18" s="4" t="s">
        <v>37</v>
      </c>
      <c r="N18" s="4" t="s">
        <v>36</v>
      </c>
      <c r="O18" s="4" t="s">
        <v>43</v>
      </c>
      <c r="P18" s="4" t="s">
        <v>46</v>
      </c>
      <c r="Q18" s="4" t="s">
        <v>46</v>
      </c>
    </row>
    <row r="19" spans="2:17" x14ac:dyDescent="0.25">
      <c r="B19" s="1"/>
      <c r="C19" s="1"/>
      <c r="D19" s="1"/>
      <c r="E19" s="1"/>
      <c r="F19" s="1"/>
      <c r="G19" s="1"/>
      <c r="H19" s="1"/>
      <c r="I19" s="1"/>
      <c r="J19" s="1"/>
      <c r="K19" s="1"/>
      <c r="L19" s="1"/>
      <c r="M19" s="1"/>
      <c r="N19" s="1"/>
      <c r="O19" s="1"/>
      <c r="P19" s="1"/>
      <c r="Q19" s="1"/>
    </row>
    <row r="20" spans="2:17" x14ac:dyDescent="0.25">
      <c r="B20" s="1"/>
      <c r="C20" s="1"/>
      <c r="D20" s="53" t="s">
        <v>55</v>
      </c>
      <c r="E20" s="53"/>
      <c r="F20" s="53"/>
      <c r="G20" s="53"/>
      <c r="H20" s="53"/>
      <c r="I20" s="53"/>
      <c r="J20" s="53"/>
      <c r="K20" s="53"/>
      <c r="L20" s="53"/>
      <c r="M20" s="53"/>
      <c r="N20" s="53"/>
      <c r="O20" s="53"/>
      <c r="P20" s="53"/>
      <c r="Q20" s="1"/>
    </row>
    <row r="21" spans="2:17" ht="15.75" thickBot="1" x14ac:dyDescent="0.3">
      <c r="B21" s="1"/>
      <c r="C21" s="1"/>
      <c r="D21" s="53"/>
      <c r="E21" s="53"/>
      <c r="F21" s="53"/>
      <c r="G21" s="53"/>
      <c r="H21" s="53"/>
      <c r="I21" s="53"/>
      <c r="J21" s="53"/>
      <c r="K21" s="53"/>
      <c r="L21" s="53"/>
      <c r="M21" s="53"/>
      <c r="N21" s="53"/>
      <c r="O21" s="53"/>
      <c r="P21" s="53"/>
      <c r="Q21" s="1"/>
    </row>
    <row r="22" spans="2:17" ht="15" customHeight="1" x14ac:dyDescent="0.25">
      <c r="B22" s="45">
        <v>3</v>
      </c>
      <c r="C22" s="35"/>
      <c r="D22" s="35">
        <v>1</v>
      </c>
      <c r="E22" s="36"/>
      <c r="F22" s="46">
        <v>4</v>
      </c>
      <c r="G22" s="47"/>
      <c r="H22" s="35">
        <v>2</v>
      </c>
      <c r="I22" s="36"/>
    </row>
    <row r="23" spans="2:17" ht="15" customHeight="1" x14ac:dyDescent="0.25">
      <c r="B23" s="41"/>
      <c r="C23" s="37"/>
      <c r="D23" s="37"/>
      <c r="E23" s="38"/>
      <c r="F23" s="48"/>
      <c r="G23" s="49"/>
      <c r="H23" s="37"/>
      <c r="I23" s="38"/>
      <c r="K23" s="54" t="s">
        <v>56</v>
      </c>
      <c r="L23" s="54"/>
      <c r="M23" s="54"/>
      <c r="N23" s="54"/>
      <c r="O23" s="54"/>
      <c r="P23" s="54"/>
      <c r="Q23" s="54"/>
    </row>
    <row r="24" spans="2:17" ht="15" customHeight="1" x14ac:dyDescent="0.25">
      <c r="B24" s="33">
        <v>4</v>
      </c>
      <c r="C24" s="34"/>
      <c r="D24" s="34">
        <v>2</v>
      </c>
      <c r="E24" s="40"/>
      <c r="F24" s="41">
        <v>3</v>
      </c>
      <c r="G24" s="37"/>
      <c r="H24" s="34">
        <v>1</v>
      </c>
      <c r="I24" s="40"/>
      <c r="K24" s="54"/>
      <c r="L24" s="54"/>
      <c r="M24" s="54"/>
      <c r="N24" s="54"/>
      <c r="O24" s="54"/>
      <c r="P24" s="54"/>
      <c r="Q24" s="54"/>
    </row>
    <row r="25" spans="2:17" ht="15.75" customHeight="1" thickBot="1" x14ac:dyDescent="0.3">
      <c r="B25" s="50"/>
      <c r="C25" s="51"/>
      <c r="D25" s="51"/>
      <c r="E25" s="52"/>
      <c r="F25" s="42"/>
      <c r="G25" s="43"/>
      <c r="H25" s="51"/>
      <c r="I25" s="52"/>
      <c r="K25" s="54"/>
      <c r="L25" s="54"/>
      <c r="M25" s="54"/>
      <c r="N25" s="54"/>
      <c r="O25" s="54"/>
      <c r="P25" s="54"/>
      <c r="Q25" s="54"/>
    </row>
    <row r="26" spans="2:17" ht="15" customHeight="1" x14ac:dyDescent="0.25">
      <c r="B26" s="31">
        <v>1</v>
      </c>
      <c r="C26" s="32"/>
      <c r="D26" s="35">
        <v>3</v>
      </c>
      <c r="E26" s="36"/>
      <c r="F26" s="31">
        <v>2</v>
      </c>
      <c r="G26" s="32"/>
      <c r="H26" s="32">
        <v>4</v>
      </c>
      <c r="I26" s="39"/>
      <c r="K26" s="54"/>
      <c r="L26" s="54"/>
      <c r="M26" s="54"/>
      <c r="N26" s="54"/>
      <c r="O26" s="54"/>
      <c r="P26" s="54"/>
      <c r="Q26" s="54"/>
    </row>
    <row r="27" spans="2:17" ht="15" customHeight="1" x14ac:dyDescent="0.25">
      <c r="B27" s="33"/>
      <c r="C27" s="34"/>
      <c r="D27" s="37"/>
      <c r="E27" s="38"/>
      <c r="F27" s="33"/>
      <c r="G27" s="34"/>
      <c r="H27" s="34"/>
      <c r="I27" s="40"/>
      <c r="K27" s="54"/>
      <c r="L27" s="54"/>
      <c r="M27" s="54"/>
      <c r="N27" s="54"/>
      <c r="O27" s="54"/>
      <c r="P27" s="54"/>
      <c r="Q27" s="54"/>
    </row>
    <row r="28" spans="2:17" ht="15" customHeight="1" x14ac:dyDescent="0.25">
      <c r="B28" s="41">
        <v>2</v>
      </c>
      <c r="C28" s="37"/>
      <c r="D28" s="37">
        <v>4</v>
      </c>
      <c r="E28" s="38"/>
      <c r="F28" s="41">
        <v>1</v>
      </c>
      <c r="G28" s="37"/>
      <c r="H28" s="37">
        <v>3</v>
      </c>
      <c r="I28" s="38"/>
      <c r="K28" s="54"/>
      <c r="L28" s="54"/>
      <c r="M28" s="54"/>
      <c r="N28" s="54"/>
      <c r="O28" s="54"/>
      <c r="P28" s="54"/>
      <c r="Q28" s="54"/>
    </row>
    <row r="29" spans="2:17" ht="15.75" customHeight="1" thickBot="1" x14ac:dyDescent="0.3">
      <c r="B29" s="42"/>
      <c r="C29" s="43"/>
      <c r="D29" s="43"/>
      <c r="E29" s="44"/>
      <c r="F29" s="42"/>
      <c r="G29" s="43"/>
      <c r="H29" s="43"/>
      <c r="I29" s="44"/>
      <c r="K29" s="55" t="s">
        <v>58</v>
      </c>
      <c r="L29" s="55"/>
      <c r="M29" s="55"/>
      <c r="N29" s="55"/>
      <c r="O29" s="55"/>
      <c r="P29" s="55"/>
    </row>
    <row r="30" spans="2:17" x14ac:dyDescent="0.25">
      <c r="K30" s="55"/>
      <c r="L30" s="55"/>
      <c r="M30" s="55"/>
      <c r="N30" s="55"/>
      <c r="O30" s="55"/>
      <c r="P30" s="55"/>
    </row>
    <row r="31" spans="2:17" x14ac:dyDescent="0.25">
      <c r="K31" s="55"/>
      <c r="L31" s="55"/>
      <c r="M31" s="55"/>
      <c r="N31" s="55"/>
      <c r="O31" s="55"/>
      <c r="P31" s="55"/>
    </row>
  </sheetData>
  <mergeCells count="20">
    <mergeCell ref="D2:P3"/>
    <mergeCell ref="D20:P21"/>
    <mergeCell ref="B22:C23"/>
    <mergeCell ref="D22:E23"/>
    <mergeCell ref="F22:G23"/>
    <mergeCell ref="H22:I23"/>
    <mergeCell ref="K23:Q28"/>
    <mergeCell ref="B24:C25"/>
    <mergeCell ref="D24:E25"/>
    <mergeCell ref="F24:G25"/>
    <mergeCell ref="K29:P31"/>
    <mergeCell ref="H24:I25"/>
    <mergeCell ref="B26:C27"/>
    <mergeCell ref="D26:E27"/>
    <mergeCell ref="F26:G27"/>
    <mergeCell ref="H26:I27"/>
    <mergeCell ref="B28:C29"/>
    <mergeCell ref="D28:E29"/>
    <mergeCell ref="F28:G29"/>
    <mergeCell ref="H28:I29"/>
  </mergeCells>
  <pageMargins left="0.70866141732283472" right="0.70866141732283472" top="0.74803149606299213" bottom="0.74803149606299213" header="0.31496062992125984" footer="0.31496062992125984"/>
  <pageSetup scale="150" orientation="portrait" horizontalDpi="4294967293" r:id="rId1"/>
  <headerFooter>
    <oddHeader>&amp;R&amp;"Aptos"&amp;12&amp;K000000 UNCLASSIFIED - NON CLASSIFIÉ&amp;1#_x000D_</oddHead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81932-AA73-47DC-82CB-EC0E532772F7}">
  <dimension ref="A1:F23"/>
  <sheetViews>
    <sheetView workbookViewId="0">
      <selection activeCell="A8" sqref="A8:A23"/>
    </sheetView>
  </sheetViews>
  <sheetFormatPr defaultRowHeight="15" x14ac:dyDescent="0.25"/>
  <cols>
    <col min="1" max="6" width="15.7109375" style="1" customWidth="1"/>
  </cols>
  <sheetData>
    <row r="1" spans="1:6" x14ac:dyDescent="0.25">
      <c r="A1" s="5" t="s">
        <v>59</v>
      </c>
      <c r="B1" s="5" t="s">
        <v>60</v>
      </c>
      <c r="C1" s="5" t="s">
        <v>61</v>
      </c>
      <c r="D1" s="5" t="s">
        <v>62</v>
      </c>
      <c r="E1" s="5" t="s">
        <v>63</v>
      </c>
      <c r="F1" s="5" t="s">
        <v>64</v>
      </c>
    </row>
    <row r="2" spans="1:6" x14ac:dyDescent="0.25">
      <c r="A2" s="1" t="s">
        <v>65</v>
      </c>
      <c r="B2" s="1" t="s">
        <v>70</v>
      </c>
      <c r="C2" s="1" t="s">
        <v>75</v>
      </c>
      <c r="D2" s="1" t="s">
        <v>80</v>
      </c>
      <c r="E2" s="1" t="s">
        <v>85</v>
      </c>
      <c r="F2" s="1" t="s">
        <v>90</v>
      </c>
    </row>
    <row r="3" spans="1:6" x14ac:dyDescent="0.25">
      <c r="A3" s="1" t="s">
        <v>66</v>
      </c>
      <c r="B3" s="1" t="s">
        <v>71</v>
      </c>
      <c r="C3" s="1" t="s">
        <v>76</v>
      </c>
      <c r="D3" s="1" t="s">
        <v>81</v>
      </c>
      <c r="E3" s="1" t="s">
        <v>86</v>
      </c>
      <c r="F3" s="1" t="s">
        <v>91</v>
      </c>
    </row>
    <row r="4" spans="1:6" x14ac:dyDescent="0.25">
      <c r="A4" s="1" t="s">
        <v>67</v>
      </c>
      <c r="B4" s="1" t="s">
        <v>72</v>
      </c>
      <c r="C4" s="1" t="s">
        <v>77</v>
      </c>
      <c r="D4" s="1" t="s">
        <v>82</v>
      </c>
      <c r="E4" s="1" t="s">
        <v>87</v>
      </c>
      <c r="F4" s="1" t="s">
        <v>92</v>
      </c>
    </row>
    <row r="5" spans="1:6" x14ac:dyDescent="0.25">
      <c r="A5" s="1" t="s">
        <v>68</v>
      </c>
      <c r="B5" s="1" t="s">
        <v>73</v>
      </c>
      <c r="C5" s="1" t="s">
        <v>78</v>
      </c>
      <c r="D5" s="1" t="s">
        <v>83</v>
      </c>
      <c r="E5" s="1" t="s">
        <v>88</v>
      </c>
      <c r="F5" s="1" t="s">
        <v>93</v>
      </c>
    </row>
    <row r="6" spans="1:6" x14ac:dyDescent="0.25">
      <c r="A6" s="1" t="s">
        <v>69</v>
      </c>
      <c r="B6" s="1" t="s">
        <v>74</v>
      </c>
      <c r="C6" s="1" t="s">
        <v>79</v>
      </c>
      <c r="D6" s="1" t="s">
        <v>84</v>
      </c>
      <c r="E6" s="1" t="s">
        <v>89</v>
      </c>
      <c r="F6" s="1" t="s">
        <v>94</v>
      </c>
    </row>
    <row r="8" spans="1:6" x14ac:dyDescent="0.25">
      <c r="A8" s="6" t="s">
        <v>95</v>
      </c>
    </row>
    <row r="9" spans="1:6" x14ac:dyDescent="0.25">
      <c r="A9" s="6" t="s">
        <v>96</v>
      </c>
    </row>
    <row r="10" spans="1:6" x14ac:dyDescent="0.25">
      <c r="A10" s="6" t="s">
        <v>97</v>
      </c>
    </row>
    <row r="11" spans="1:6" x14ac:dyDescent="0.25">
      <c r="A11" s="6" t="s">
        <v>98</v>
      </c>
    </row>
    <row r="12" spans="1:6" x14ac:dyDescent="0.25">
      <c r="A12" s="6" t="s">
        <v>99</v>
      </c>
    </row>
    <row r="13" spans="1:6" x14ac:dyDescent="0.25">
      <c r="A13" s="6" t="s">
        <v>100</v>
      </c>
    </row>
    <row r="14" spans="1:6" x14ac:dyDescent="0.25">
      <c r="A14" s="6" t="s">
        <v>101</v>
      </c>
    </row>
    <row r="15" spans="1:6" x14ac:dyDescent="0.25">
      <c r="A15" s="6" t="s">
        <v>102</v>
      </c>
    </row>
    <row r="16" spans="1:6" x14ac:dyDescent="0.25">
      <c r="A16" s="6" t="s">
        <v>103</v>
      </c>
    </row>
    <row r="17" spans="1:1" x14ac:dyDescent="0.25">
      <c r="A17" s="6" t="s">
        <v>104</v>
      </c>
    </row>
    <row r="18" spans="1:1" x14ac:dyDescent="0.25">
      <c r="A18" s="6" t="s">
        <v>105</v>
      </c>
    </row>
    <row r="19" spans="1:1" x14ac:dyDescent="0.25">
      <c r="A19" s="6" t="s">
        <v>106</v>
      </c>
    </row>
    <row r="20" spans="1:1" x14ac:dyDescent="0.25">
      <c r="A20" s="6" t="s">
        <v>110</v>
      </c>
    </row>
    <row r="21" spans="1:1" x14ac:dyDescent="0.25">
      <c r="A21" s="6" t="s">
        <v>107</v>
      </c>
    </row>
    <row r="22" spans="1:1" x14ac:dyDescent="0.25">
      <c r="A22" s="6" t="s">
        <v>108</v>
      </c>
    </row>
    <row r="23" spans="1:1" x14ac:dyDescent="0.25">
      <c r="A23" s="6" t="s">
        <v>109</v>
      </c>
    </row>
  </sheetData>
  <pageMargins left="0.7" right="0.7" top="0.75" bottom="0.75" header="0.3" footer="0.3"/>
  <headerFooter>
    <oddHeader>&amp;R&amp;"Aptos"&amp;12&amp;K000000 UNCLASSIFIED - NON CLASSIFIÉ&amp;1#_x000D_</oddHeader>
  </headerFooter>
</worksheet>
</file>

<file path=docMetadata/LabelInfo.xml><?xml version="1.0" encoding="utf-8"?>
<clbl:labelList xmlns:clbl="http://schemas.microsoft.com/office/2020/mipLabelMetadata">
  <clbl:label id="{219619fd-75dc-48cb-820d-8f683a95dd8b}" enabled="1" method="Privileged" siteId="{05c95b33-90ca-49d5-b644-288b930b912b}"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Adventure Tracker</vt:lpstr>
      <vt:lpstr>Sheet1</vt:lpstr>
      <vt:lpstr>Info</vt:lpstr>
      <vt:lpstr>Draft</vt:lpstr>
      <vt:lpstr>Word_Search</vt:lpstr>
      <vt:lpstr>Word_Search_solution</vt:lpstr>
      <vt:lpstr>Riddle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Guettier</dc:creator>
  <cp:lastModifiedBy>Simon Guettier</cp:lastModifiedBy>
  <cp:lastPrinted>2025-11-16T03:03:06Z</cp:lastPrinted>
  <dcterms:created xsi:type="dcterms:W3CDTF">2015-06-05T18:17:20Z</dcterms:created>
  <dcterms:modified xsi:type="dcterms:W3CDTF">2026-03-30T02:32:05Z</dcterms:modified>
</cp:coreProperties>
</file>