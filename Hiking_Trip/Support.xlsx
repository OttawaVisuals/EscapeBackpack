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EscapeBackpack\EscapeBackpack\Hiking_Trip\"/>
    </mc:Choice>
  </mc:AlternateContent>
  <xr:revisionPtr revIDLastSave="0" documentId="13_ncr:1_{761558FA-06F1-423D-BFB9-E802BE67BE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" sheetId="2" r:id="rId1"/>
    <sheet name="Draft" sheetId="1" r:id="rId2"/>
    <sheet name="Word_Search" sheetId="3" r:id="rId3"/>
    <sheet name="Word_Search_solution" sheetId="4" r:id="rId4"/>
    <sheet name="Ridd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3" i="1" l="1"/>
  <c r="AU25" i="1"/>
  <c r="AU24" i="1"/>
  <c r="AS9" i="1"/>
  <c r="AT16" i="1"/>
  <c r="C17" i="2"/>
  <c r="E16" i="2"/>
  <c r="E14" i="2"/>
  <c r="E13" i="2"/>
  <c r="L14" i="2"/>
  <c r="M14" i="2" s="1"/>
  <c r="L13" i="2"/>
  <c r="M13" i="2" s="1"/>
  <c r="C16" i="2"/>
  <c r="G14" i="2"/>
  <c r="G13" i="2"/>
  <c r="AT7" i="1"/>
  <c r="AT4" i="1"/>
  <c r="AU5" i="1" s="1"/>
  <c r="AS7" i="1"/>
  <c r="AQ2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S2" i="1"/>
</calcChain>
</file>

<file path=xl/sharedStrings.xml><?xml version="1.0" encoding="utf-8"?>
<sst xmlns="http://schemas.openxmlformats.org/spreadsheetml/2006/main" count="879" uniqueCount="131">
  <si>
    <t>Line/Column</t>
  </si>
  <si>
    <t>Square cells</t>
  </si>
  <si>
    <t>h</t>
  </si>
  <si>
    <t>w</t>
  </si>
  <si>
    <t>a</t>
  </si>
  <si>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</si>
  <si>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</si>
  <si>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</si>
  <si>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</si>
  <si>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</si>
  <si>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</si>
  <si>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</si>
  <si>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</si>
  <si>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</si>
  <si>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</si>
  <si>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</si>
  <si>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</si>
  <si>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</si>
  <si>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</si>
  <si>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</si>
  <si>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</si>
  <si>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</si>
  <si>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</si>
  <si>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</si>
  <si>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</si>
  <si>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</si>
  <si>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y</t>
  </si>
  <si>
    <t>z</t>
  </si>
  <si>
    <t>X</t>
  </si>
  <si>
    <t>B</t>
  </si>
  <si>
    <t>R</t>
  </si>
  <si>
    <t>C</t>
  </si>
  <si>
    <t>M</t>
  </si>
  <si>
    <t>T</t>
  </si>
  <si>
    <t>J</t>
  </si>
  <si>
    <t>W</t>
  </si>
  <si>
    <t>D</t>
  </si>
  <si>
    <t>O</t>
  </si>
  <si>
    <t>A</t>
  </si>
  <si>
    <t>H</t>
  </si>
  <si>
    <t>L</t>
  </si>
  <si>
    <t>K</t>
  </si>
  <si>
    <t>U</t>
  </si>
  <si>
    <t>G</t>
  </si>
  <si>
    <t>I</t>
  </si>
  <si>
    <t>Z</t>
  </si>
  <si>
    <t>F</t>
  </si>
  <si>
    <t>V</t>
  </si>
  <si>
    <t>S</t>
  </si>
  <si>
    <t>Q</t>
  </si>
  <si>
    <t>P</t>
  </si>
  <si>
    <t>E</t>
  </si>
  <si>
    <t>Y</t>
  </si>
  <si>
    <t>N</t>
  </si>
  <si>
    <t>Today's Word Search</t>
  </si>
  <si>
    <t>Today's Sudoku</t>
  </si>
  <si>
    <t>Fill the grid with numbers from 1 to 4. Each colum, each row and each of the four 2x2 blocks contains each number exactly once.</t>
  </si>
  <si>
    <t>Answer: 7 3 4</t>
  </si>
  <si>
    <t>7 3 4</t>
  </si>
  <si>
    <t>Name</t>
  </si>
  <si>
    <t>Job</t>
  </si>
  <si>
    <t>Hair Colour</t>
  </si>
  <si>
    <t>Pet</t>
  </si>
  <si>
    <t>Hobby</t>
  </si>
  <si>
    <t>Facial Feature</t>
  </si>
  <si>
    <t>Dick</t>
  </si>
  <si>
    <t>Bart</t>
  </si>
  <si>
    <t>June</t>
  </si>
  <si>
    <t>Rich</t>
  </si>
  <si>
    <t>Mady</t>
  </si>
  <si>
    <t>Doctor</t>
  </si>
  <si>
    <t>Engineer</t>
  </si>
  <si>
    <t>Park Ranger</t>
  </si>
  <si>
    <t>Astronaut</t>
  </si>
  <si>
    <t>Chef</t>
  </si>
  <si>
    <t>Grey</t>
  </si>
  <si>
    <t>Blue</t>
  </si>
  <si>
    <t>Black</t>
  </si>
  <si>
    <t>Blonde</t>
  </si>
  <si>
    <t>Brown</t>
  </si>
  <si>
    <t>Frog</t>
  </si>
  <si>
    <t>Cat</t>
  </si>
  <si>
    <t>Bird</t>
  </si>
  <si>
    <t>Dog</t>
  </si>
  <si>
    <t>Rat</t>
  </si>
  <si>
    <t>Music</t>
  </si>
  <si>
    <t>Hockey</t>
  </si>
  <si>
    <t>Painting</t>
  </si>
  <si>
    <t>Photography</t>
  </si>
  <si>
    <t>Scuba Diving</t>
  </si>
  <si>
    <t>Beard</t>
  </si>
  <si>
    <t>Scar</t>
  </si>
  <si>
    <t>Headband</t>
  </si>
  <si>
    <t>Birth Mark</t>
  </si>
  <si>
    <t>Face Tattoo</t>
  </si>
  <si>
    <t>Bart has a scar.</t>
  </si>
  <si>
    <t>The person with the scar plays hockey.</t>
  </si>
  <si>
    <t>Bart is not the doctor.</t>
  </si>
  <si>
    <t>Rich has blonde hair.</t>
  </si>
  <si>
    <t>The blonde person enjoys photography.</t>
  </si>
  <si>
    <t>June has black hair.</t>
  </si>
  <si>
    <t>The person with black hair owns the bird.</t>
  </si>
  <si>
    <t>Mady has brown hair.</t>
  </si>
  <si>
    <t>Mady is the chef.</t>
  </si>
  <si>
    <t>The chef has a face tattoo.</t>
  </si>
  <si>
    <t>The astronaut owns the dog.</t>
  </si>
  <si>
    <t>Rich is the astronaut.</t>
  </si>
  <si>
    <t>The grey-haired person enjoys music.</t>
  </si>
  <si>
    <t>The person who owns the frog is the doctor.</t>
  </si>
  <si>
    <t>Bart owns the cat.</t>
  </si>
  <si>
    <t>Dick has grey hair.</t>
  </si>
  <si>
    <t>GM=</t>
  </si>
  <si>
    <t>v=</t>
  </si>
  <si>
    <t>Re=</t>
  </si>
  <si>
    <t>h=</t>
  </si>
  <si>
    <t>Printer Margins</t>
  </si>
  <si>
    <t>Top</t>
  </si>
  <si>
    <t>mm</t>
  </si>
  <si>
    <t>Side</t>
  </si>
  <si>
    <t>Bottom</t>
  </si>
  <si>
    <t>https://support.usa.canon.com/kb/s/article/ART163725</t>
  </si>
  <si>
    <t>Page Type</t>
  </si>
  <si>
    <t>Height</t>
  </si>
  <si>
    <t>Width</t>
  </si>
  <si>
    <t>cm</t>
  </si>
  <si>
    <t>Number</t>
  </si>
  <si>
    <t>KNoWN PHYSiCs</t>
  </si>
  <si>
    <t>No</t>
  </si>
  <si>
    <t>Si</t>
  </si>
  <si>
    <t>Cs</t>
  </si>
  <si>
    <t xml:space="preserve"> + S I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</si>
</sst>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5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5" fillId="5" borderId="0" xfId="1" applyFon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0" fontId="7" fillId="0" borderId="0" xfId="2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3">
    <cellStyle name="Accent5" xfId="1" builtinId="45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180976</xdr:colOff>
      <xdr:row>3</xdr:row>
      <xdr:rowOff>133350</xdr:rowOff>
    </xdr:from>
    <xdr:to>
      <xdr:col>11</xdr:col>
      <xdr:colOff>76201</xdr:colOff>
      <xdr:row>5</xdr:row>
      <xdr:rowOff>47625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ABDB727-A8AE-1943-69AC-2A8CF996200A}"/>
            </a:ext>
          </a:extLst>
        </xdr:cNvPr>
        <xdr:cNvSpPr/>
      </xdr:nvSpPr>
      <xdr:spPr>
        <a:xfrm>
          <a:off x="1095376" y="704850"/>
          <a:ext cx="1428750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210281</xdr:colOff>
      <xdr:row>6</xdr:row>
      <xdr:rowOff>64259</xdr:rowOff>
    </xdr:from>
    <xdr:to>
      <xdr:col>12</xdr:col>
      <xdr:colOff>20869</xdr:colOff>
      <xdr:row>7</xdr:row>
      <xdr:rowOff>169034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58C09DD-CADC-40FD-A671-DA4043817488}"/>
            </a:ext>
          </a:extLst>
        </xdr:cNvPr>
        <xdr:cNvSpPr/>
      </xdr:nvSpPr>
      <xdr:spPr>
        <a:xfrm rot="19145515">
          <a:off x="905606" y="1207259"/>
          <a:ext cx="1782263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180975</xdr:colOff>
      <xdr:row>6</xdr:row>
      <xdr:rowOff>142875</xdr:rowOff>
    </xdr:from>
    <xdr:to>
      <xdr:col>15</xdr:col>
      <xdr:colOff>76200</xdr:colOff>
      <xdr:row>8</xdr:row>
      <xdr:rowOff>57150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50560A2-6B7F-4147-B2E9-44C0BB03BA22}"/>
            </a:ext>
          </a:extLst>
        </xdr:cNvPr>
        <xdr:cNvSpPr/>
      </xdr:nvSpPr>
      <xdr:spPr>
        <a:xfrm>
          <a:off x="2409825" y="1285875"/>
          <a:ext cx="990600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195262</xdr:colOff>
      <xdr:row>6</xdr:row>
      <xdr:rowOff>119063</xdr:rowOff>
    </xdr:from>
    <xdr:to>
      <xdr:col>15</xdr:col>
      <xdr:colOff>52387</xdr:colOff>
      <xdr:row>15</xdr:row>
      <xdr:rowOff>114302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4D8271F-CC23-45F8-AC4A-FDBB375EF9E6}"/>
            </a:ext>
          </a:extLst>
        </xdr:cNvPr>
        <xdr:cNvSpPr/>
      </xdr:nvSpPr>
      <xdr:spPr>
        <a:xfrm rot="5400000">
          <a:off x="2374105" y="1969295"/>
          <a:ext cx="1709739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142875</xdr:colOff>
      <xdr:row>9</xdr:row>
      <xdr:rowOff>142875</xdr:rowOff>
    </xdr:from>
    <xdr:to>
      <xdr:col>15</xdr:col>
      <xdr:colOff>38100</xdr:colOff>
      <xdr:row>11</xdr:row>
      <xdr:rowOff>57150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57E6728-A513-4F39-8393-796BDF9D3F42}"/>
            </a:ext>
          </a:extLst>
        </xdr:cNvPr>
        <xdr:cNvSpPr/>
      </xdr:nvSpPr>
      <xdr:spPr>
        <a:xfrm>
          <a:off x="2371725" y="1857375"/>
          <a:ext cx="990600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171450</xdr:colOff>
      <xdr:row>13</xdr:row>
      <xdr:rowOff>142875</xdr:rowOff>
    </xdr:from>
    <xdr:to>
      <xdr:col>15</xdr:col>
      <xdr:colOff>66675</xdr:colOff>
      <xdr:row>15</xdr:row>
      <xdr:rowOff>57150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1569988-1F60-43D4-A508-4BF01A0F6D37}"/>
            </a:ext>
          </a:extLst>
        </xdr:cNvPr>
        <xdr:cNvSpPr/>
      </xdr:nvSpPr>
      <xdr:spPr>
        <a:xfrm>
          <a:off x="2400300" y="2619375"/>
          <a:ext cx="990600" cy="2952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usa.canon.com/kb/s/article/ART1637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0E2E-9366-4C07-AD85-6CF609B51D36}">
  <dimension ref="A2:M17"/>
  <sheetViews>
    <sheetView workbookViewId="0">
      <selection activeCell="E13" sqref="E13"/>
    </sheetView>
  </sheetViews>
  <sheetFormatPr defaultRowHeight="15" x14ac:dyDescent="0.25"/>
  <sheetData>
    <row r="2" spans="1:13" x14ac:dyDescent="0.25">
      <c r="A2" t="s">
        <v>1</v>
      </c>
    </row>
    <row r="3" spans="1:13" x14ac:dyDescent="0.25">
      <c r="A3" t="s">
        <v>2</v>
      </c>
      <c r="B3">
        <v>15</v>
      </c>
    </row>
    <row r="4" spans="1:13" x14ac:dyDescent="0.25">
      <c r="A4" t="s">
        <v>3</v>
      </c>
      <c r="B4">
        <v>2.6</v>
      </c>
    </row>
    <row r="7" spans="1:13" x14ac:dyDescent="0.25">
      <c r="A7" t="s">
        <v>115</v>
      </c>
      <c r="C7" s="11" t="s">
        <v>120</v>
      </c>
    </row>
    <row r="8" spans="1:13" x14ac:dyDescent="0.25">
      <c r="B8" t="s">
        <v>116</v>
      </c>
      <c r="C8">
        <v>3</v>
      </c>
      <c r="D8" t="s">
        <v>117</v>
      </c>
    </row>
    <row r="9" spans="1:13" x14ac:dyDescent="0.25">
      <c r="B9" t="s">
        <v>118</v>
      </c>
      <c r="C9">
        <v>3.4</v>
      </c>
      <c r="D9" t="s">
        <v>117</v>
      </c>
    </row>
    <row r="10" spans="1:13" x14ac:dyDescent="0.25">
      <c r="B10" t="s">
        <v>119</v>
      </c>
      <c r="C10">
        <v>16.7</v>
      </c>
      <c r="D10" t="s">
        <v>117</v>
      </c>
    </row>
    <row r="12" spans="1:13" x14ac:dyDescent="0.25">
      <c r="K12" t="s">
        <v>125</v>
      </c>
    </row>
    <row r="13" spans="1:13" x14ac:dyDescent="0.25">
      <c r="A13" t="s">
        <v>121</v>
      </c>
      <c r="B13" t="s">
        <v>122</v>
      </c>
      <c r="C13">
        <v>13.9</v>
      </c>
      <c r="D13" t="s">
        <v>124</v>
      </c>
      <c r="E13">
        <f>C13-(C8+C10)/10</f>
        <v>11.93</v>
      </c>
      <c r="F13" t="s">
        <v>124</v>
      </c>
      <c r="G13">
        <f>E13*3</f>
        <v>35.79</v>
      </c>
      <c r="I13">
        <v>31</v>
      </c>
      <c r="J13" t="s">
        <v>124</v>
      </c>
      <c r="K13">
        <v>2</v>
      </c>
      <c r="L13">
        <f>C13*K13</f>
        <v>27.8</v>
      </c>
      <c r="M13">
        <f>L13-(C8+C10)/10</f>
        <v>25.830000000000002</v>
      </c>
    </row>
    <row r="14" spans="1:13" x14ac:dyDescent="0.25">
      <c r="B14" t="s">
        <v>123</v>
      </c>
      <c r="C14">
        <v>21.3</v>
      </c>
      <c r="D14" t="s">
        <v>124</v>
      </c>
      <c r="E14">
        <f>C14-2*C9/10</f>
        <v>20.62</v>
      </c>
      <c r="F14" t="s">
        <v>124</v>
      </c>
      <c r="G14">
        <f>E14*3</f>
        <v>61.86</v>
      </c>
      <c r="I14">
        <v>20</v>
      </c>
      <c r="J14" t="s">
        <v>124</v>
      </c>
      <c r="K14">
        <v>2</v>
      </c>
      <c r="L14">
        <f>C14*K14</f>
        <v>42.6</v>
      </c>
      <c r="M14">
        <f>L14-2*C9/10</f>
        <v>41.92</v>
      </c>
    </row>
    <row r="16" spans="1:13" x14ac:dyDescent="0.25">
      <c r="C16">
        <f>C14-C9/10</f>
        <v>20.96</v>
      </c>
      <c r="E16">
        <f>2*C14</f>
        <v>42.6</v>
      </c>
    </row>
    <row r="17" spans="3:3" x14ac:dyDescent="0.25">
      <c r="C17">
        <f>C13-(C8+C10)/10</f>
        <v>11.93</v>
      </c>
    </row>
  </sheetData>
  <hyperlinks>
    <hyperlink ref="C7" r:id="rId1" xr:uid="{9720C1EA-3CA5-4BDB-9AD5-468174E727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AU39"/>
  <sheetViews>
    <sheetView tabSelected="1" topLeftCell="Q1" workbookViewId="0">
      <selection activeCell="AS14" sqref="AS14"/>
    </sheetView>
  </sheetViews>
  <sheetFormatPr defaultRowHeight="15" x14ac:dyDescent="0.25"/>
  <cols>
    <col min="1" max="1" width="12.42578125" bestFit="1" customWidth="1"/>
    <col min="2" max="16" width="3.28515625" customWidth="1"/>
    <col min="18" max="18" width="12.42578125" hidden="1" customWidth="1"/>
    <col min="19" max="38" width="3.28515625" hidden="1" customWidth="1"/>
    <col min="45" max="45" width="16.42578125" customWidth="1"/>
    <col min="46" max="46" width="14.85546875" customWidth="1"/>
    <col min="47" max="47" width="18.5703125" customWidth="1"/>
  </cols>
  <sheetData>
    <row r="1" spans="1:47" x14ac:dyDescent="0.25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R1" t="s">
        <v>0</v>
      </c>
      <c r="S1" s="1">
        <v>1</v>
      </c>
      <c r="T1" s="1">
        <v>2</v>
      </c>
      <c r="U1" s="1">
        <v>3</v>
      </c>
      <c r="V1" s="1">
        <v>4</v>
      </c>
      <c r="W1" s="1">
        <v>5</v>
      </c>
      <c r="X1" s="1">
        <v>6</v>
      </c>
      <c r="Y1" s="1">
        <v>7</v>
      </c>
      <c r="Z1" s="1">
        <v>8</v>
      </c>
      <c r="AA1" s="1">
        <v>9</v>
      </c>
      <c r="AB1" s="1">
        <v>10</v>
      </c>
      <c r="AC1" s="1">
        <v>11</v>
      </c>
      <c r="AD1" s="1">
        <v>12</v>
      </c>
      <c r="AE1" s="1">
        <v>13</v>
      </c>
      <c r="AF1" s="1">
        <v>14</v>
      </c>
      <c r="AG1" s="1">
        <v>15</v>
      </c>
      <c r="AH1" s="1">
        <v>16</v>
      </c>
      <c r="AI1" s="1">
        <v>17</v>
      </c>
      <c r="AJ1" s="1">
        <v>18</v>
      </c>
      <c r="AK1" s="1">
        <v>19</v>
      </c>
      <c r="AL1" s="1">
        <v>20</v>
      </c>
      <c r="AN1" t="s">
        <v>4</v>
      </c>
      <c r="AO1" s="1">
        <v>1</v>
      </c>
    </row>
    <row r="2" spans="1:47" x14ac:dyDescent="0.25">
      <c r="A2" s="1">
        <v>1</v>
      </c>
      <c r="B2" s="1" t="s">
        <v>28</v>
      </c>
      <c r="C2" s="1" t="s">
        <v>29</v>
      </c>
      <c r="D2" s="1" t="s">
        <v>30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R2" s="1">
        <v>1</v>
      </c>
      <c r="S2" s="1">
        <f ca="1">MAX(ROUND(RAND()*26,0),1)</f>
        <v>6</v>
      </c>
      <c r="T2" s="1">
        <f t="shared" ref="T2:AL15" ca="1" si="0">MAX(ROUND(RAND()*26,0),1)</f>
        <v>6</v>
      </c>
      <c r="U2" s="1">
        <f t="shared" ca="1" si="0"/>
        <v>16</v>
      </c>
      <c r="V2" s="1">
        <f t="shared" ca="1" si="0"/>
        <v>17</v>
      </c>
      <c r="W2" s="1">
        <f t="shared" ca="1" si="0"/>
        <v>1</v>
      </c>
      <c r="X2" s="1">
        <f t="shared" ca="1" si="0"/>
        <v>10</v>
      </c>
      <c r="Y2" s="1">
        <f t="shared" ca="1" si="0"/>
        <v>11</v>
      </c>
      <c r="Z2" s="1">
        <f t="shared" ca="1" si="0"/>
        <v>23</v>
      </c>
      <c r="AA2" s="1">
        <f t="shared" ca="1" si="0"/>
        <v>16</v>
      </c>
      <c r="AB2" s="1">
        <f t="shared" ca="1" si="0"/>
        <v>17</v>
      </c>
      <c r="AC2" s="1">
        <f t="shared" ca="1" si="0"/>
        <v>9</v>
      </c>
      <c r="AD2" s="1">
        <f t="shared" ca="1" si="0"/>
        <v>17</v>
      </c>
      <c r="AE2" s="1">
        <f t="shared" ca="1" si="0"/>
        <v>20</v>
      </c>
      <c r="AF2" s="1">
        <f t="shared" ca="1" si="0"/>
        <v>14</v>
      </c>
      <c r="AG2" s="1">
        <f t="shared" ca="1" si="0"/>
        <v>12</v>
      </c>
      <c r="AH2" s="1">
        <f t="shared" ca="1" si="0"/>
        <v>17</v>
      </c>
      <c r="AI2" s="1">
        <f t="shared" ca="1" si="0"/>
        <v>4</v>
      </c>
      <c r="AJ2" s="1">
        <f t="shared" ca="1" si="0"/>
        <v>9</v>
      </c>
      <c r="AK2" s="1">
        <f t="shared" ca="1" si="0"/>
        <v>8</v>
      </c>
      <c r="AL2" s="1">
        <f t="shared" ca="1" si="0"/>
        <v>12</v>
      </c>
      <c r="AN2" t="s">
        <v>5</v>
      </c>
      <c r="AO2" s="1">
        <v>2</v>
      </c>
      <c r="AQ2" t="str">
        <f>PROPER(Q2)</f>
        <v/>
      </c>
    </row>
    <row r="3" spans="1:47" x14ac:dyDescent="0.25">
      <c r="A3" s="1">
        <v>2</v>
      </c>
      <c r="B3" s="1" t="s">
        <v>35</v>
      </c>
      <c r="C3" s="1" t="s">
        <v>51</v>
      </c>
      <c r="D3" s="1" t="s">
        <v>33</v>
      </c>
      <c r="E3" s="1" t="s">
        <v>35</v>
      </c>
      <c r="F3" s="2" t="s">
        <v>33</v>
      </c>
      <c r="G3" s="2" t="s">
        <v>51</v>
      </c>
      <c r="H3" s="2" t="s">
        <v>43</v>
      </c>
      <c r="I3" s="2" t="s">
        <v>30</v>
      </c>
      <c r="J3" s="2" t="s">
        <v>37</v>
      </c>
      <c r="K3" s="2" t="s">
        <v>46</v>
      </c>
      <c r="L3" s="1" t="s">
        <v>32</v>
      </c>
      <c r="M3" s="1" t="s">
        <v>32</v>
      </c>
      <c r="N3" s="1" t="s">
        <v>32</v>
      </c>
      <c r="O3" s="1" t="s">
        <v>38</v>
      </c>
      <c r="P3" s="1" t="s">
        <v>36</v>
      </c>
      <c r="R3" s="1">
        <v>2</v>
      </c>
      <c r="S3" s="1">
        <f t="shared" ref="S3:AH16" ca="1" si="1">MAX(ROUND(RAND()*26,0),1)</f>
        <v>10</v>
      </c>
      <c r="T3" s="1">
        <f t="shared" ca="1" si="0"/>
        <v>5</v>
      </c>
      <c r="U3" s="1">
        <f t="shared" ca="1" si="0"/>
        <v>13</v>
      </c>
      <c r="V3" s="1">
        <f t="shared" ca="1" si="0"/>
        <v>10</v>
      </c>
      <c r="W3" s="1">
        <f t="shared" ca="1" si="0"/>
        <v>15</v>
      </c>
      <c r="X3" s="1">
        <f t="shared" ca="1" si="0"/>
        <v>8</v>
      </c>
      <c r="Y3" s="1">
        <f t="shared" ca="1" si="0"/>
        <v>5</v>
      </c>
      <c r="Z3" s="1">
        <f t="shared" ca="1" si="0"/>
        <v>24</v>
      </c>
      <c r="AA3" s="1">
        <f t="shared" ca="1" si="0"/>
        <v>23</v>
      </c>
      <c r="AB3" s="1">
        <f t="shared" ca="1" si="0"/>
        <v>9</v>
      </c>
      <c r="AC3" s="1">
        <f t="shared" ca="1" si="0"/>
        <v>8</v>
      </c>
      <c r="AD3" s="1">
        <f t="shared" ca="1" si="0"/>
        <v>7</v>
      </c>
      <c r="AE3" s="1">
        <f t="shared" ca="1" si="0"/>
        <v>5</v>
      </c>
      <c r="AF3" s="1">
        <f t="shared" ca="1" si="0"/>
        <v>23</v>
      </c>
      <c r="AG3" s="1">
        <f t="shared" ca="1" si="0"/>
        <v>17</v>
      </c>
      <c r="AH3" s="1">
        <f t="shared" ca="1" si="0"/>
        <v>9</v>
      </c>
      <c r="AI3" s="1">
        <f t="shared" ca="1" si="0"/>
        <v>25</v>
      </c>
      <c r="AJ3" s="1">
        <f t="shared" ca="1" si="0"/>
        <v>4</v>
      </c>
      <c r="AK3" s="1">
        <f t="shared" ca="1" si="0"/>
        <v>9</v>
      </c>
      <c r="AL3" s="1">
        <f t="shared" ca="1" si="0"/>
        <v>8</v>
      </c>
      <c r="AN3" t="s">
        <v>6</v>
      </c>
      <c r="AO3" s="1">
        <v>3</v>
      </c>
      <c r="AR3" t="s">
        <v>111</v>
      </c>
      <c r="AS3" s="7">
        <v>401926.91000000003</v>
      </c>
    </row>
    <row r="4" spans="1:47" x14ac:dyDescent="0.25">
      <c r="A4" s="1">
        <v>3</v>
      </c>
      <c r="B4" s="1" t="s">
        <v>43</v>
      </c>
      <c r="C4" s="1" t="s">
        <v>34</v>
      </c>
      <c r="D4" s="1" t="s">
        <v>36</v>
      </c>
      <c r="E4" s="1" t="s">
        <v>46</v>
      </c>
      <c r="F4" s="1" t="s">
        <v>38</v>
      </c>
      <c r="G4" s="1" t="s">
        <v>44</v>
      </c>
      <c r="H4" s="1" t="s">
        <v>33</v>
      </c>
      <c r="I4" s="1" t="s">
        <v>35</v>
      </c>
      <c r="J4" s="2" t="s">
        <v>38</v>
      </c>
      <c r="K4" s="1" t="s">
        <v>48</v>
      </c>
      <c r="L4" s="1" t="s">
        <v>30</v>
      </c>
      <c r="M4" s="1" t="s">
        <v>38</v>
      </c>
      <c r="N4" s="1" t="s">
        <v>40</v>
      </c>
      <c r="O4" s="1" t="s">
        <v>30</v>
      </c>
      <c r="P4" s="1" t="s">
        <v>34</v>
      </c>
      <c r="R4" s="1">
        <v>3</v>
      </c>
      <c r="S4" s="1">
        <f t="shared" ca="1" si="1"/>
        <v>23</v>
      </c>
      <c r="T4" s="1">
        <f t="shared" ca="1" si="0"/>
        <v>10</v>
      </c>
      <c r="U4" s="1">
        <f t="shared" ca="1" si="0"/>
        <v>13</v>
      </c>
      <c r="V4" s="1">
        <f t="shared" ca="1" si="0"/>
        <v>20</v>
      </c>
      <c r="W4" s="1">
        <f t="shared" ca="1" si="0"/>
        <v>9</v>
      </c>
      <c r="X4" s="1">
        <f t="shared" ca="1" si="0"/>
        <v>1</v>
      </c>
      <c r="Y4" s="1">
        <f t="shared" ca="1" si="0"/>
        <v>18</v>
      </c>
      <c r="Z4" s="1">
        <f t="shared" ca="1" si="0"/>
        <v>7</v>
      </c>
      <c r="AA4" s="1">
        <f t="shared" ca="1" si="0"/>
        <v>16</v>
      </c>
      <c r="AB4" s="1">
        <f t="shared" ca="1" si="0"/>
        <v>17</v>
      </c>
      <c r="AC4" s="1">
        <f t="shared" ca="1" si="0"/>
        <v>23</v>
      </c>
      <c r="AD4" s="1">
        <f t="shared" ca="1" si="0"/>
        <v>2</v>
      </c>
      <c r="AE4" s="1">
        <f t="shared" ca="1" si="0"/>
        <v>12</v>
      </c>
      <c r="AF4" s="1">
        <f t="shared" ca="1" si="0"/>
        <v>1</v>
      </c>
      <c r="AG4" s="1">
        <f t="shared" ca="1" si="0"/>
        <v>18</v>
      </c>
      <c r="AH4" s="1">
        <f t="shared" ca="1" si="0"/>
        <v>8</v>
      </c>
      <c r="AI4" s="1">
        <f t="shared" ca="1" si="0"/>
        <v>16</v>
      </c>
      <c r="AJ4" s="1">
        <f t="shared" ca="1" si="0"/>
        <v>20</v>
      </c>
      <c r="AK4" s="1">
        <f t="shared" ca="1" si="0"/>
        <v>5</v>
      </c>
      <c r="AL4" s="1">
        <f t="shared" ca="1" si="0"/>
        <v>24</v>
      </c>
      <c r="AN4" t="s">
        <v>7</v>
      </c>
      <c r="AO4" s="1">
        <v>4</v>
      </c>
      <c r="AR4" t="s">
        <v>112</v>
      </c>
      <c r="AS4" s="7">
        <v>7.7</v>
      </c>
      <c r="AT4" s="9">
        <f>AS4^2</f>
        <v>59.290000000000006</v>
      </c>
    </row>
    <row r="5" spans="1:47" x14ac:dyDescent="0.25">
      <c r="A5" s="1">
        <v>4</v>
      </c>
      <c r="B5" s="1" t="s">
        <v>36</v>
      </c>
      <c r="C5" s="1" t="s">
        <v>41</v>
      </c>
      <c r="D5" s="3" t="s">
        <v>39</v>
      </c>
      <c r="E5" s="1" t="s">
        <v>40</v>
      </c>
      <c r="F5" s="1" t="s">
        <v>48</v>
      </c>
      <c r="G5" s="1" t="s">
        <v>33</v>
      </c>
      <c r="H5" s="1" t="s">
        <v>29</v>
      </c>
      <c r="I5" s="2" t="s">
        <v>32</v>
      </c>
      <c r="J5" s="1" t="s">
        <v>44</v>
      </c>
      <c r="K5" s="1" t="s">
        <v>50</v>
      </c>
      <c r="L5" s="1" t="s">
        <v>28</v>
      </c>
      <c r="M5" s="1" t="s">
        <v>35</v>
      </c>
      <c r="N5" s="1" t="s">
        <v>41</v>
      </c>
      <c r="O5" s="1" t="s">
        <v>34</v>
      </c>
      <c r="P5" s="1" t="s">
        <v>46</v>
      </c>
      <c r="R5" s="1">
        <v>4</v>
      </c>
      <c r="S5" s="1">
        <f t="shared" ca="1" si="1"/>
        <v>16</v>
      </c>
      <c r="T5" s="1">
        <f t="shared" ca="1" si="0"/>
        <v>23</v>
      </c>
      <c r="U5" s="1">
        <f t="shared" ca="1" si="0"/>
        <v>10</v>
      </c>
      <c r="V5" s="1">
        <f t="shared" ca="1" si="0"/>
        <v>3</v>
      </c>
      <c r="W5" s="1">
        <f t="shared" ca="1" si="0"/>
        <v>16</v>
      </c>
      <c r="X5" s="1">
        <f t="shared" ca="1" si="0"/>
        <v>7</v>
      </c>
      <c r="Y5" s="1">
        <f t="shared" ca="1" si="0"/>
        <v>3</v>
      </c>
      <c r="Z5" s="1">
        <f t="shared" ca="1" si="0"/>
        <v>20</v>
      </c>
      <c r="AA5" s="1">
        <f t="shared" ca="1" si="0"/>
        <v>17</v>
      </c>
      <c r="AB5" s="1">
        <f t="shared" ca="1" si="0"/>
        <v>15</v>
      </c>
      <c r="AC5" s="1">
        <f t="shared" ca="1" si="0"/>
        <v>15</v>
      </c>
      <c r="AD5" s="1">
        <f t="shared" ca="1" si="0"/>
        <v>23</v>
      </c>
      <c r="AE5" s="1">
        <f t="shared" ca="1" si="0"/>
        <v>16</v>
      </c>
      <c r="AF5" s="1">
        <f t="shared" ca="1" si="0"/>
        <v>21</v>
      </c>
      <c r="AG5" s="1">
        <f t="shared" ca="1" si="0"/>
        <v>22</v>
      </c>
      <c r="AH5" s="1">
        <f t="shared" ca="1" si="0"/>
        <v>14</v>
      </c>
      <c r="AI5" s="1">
        <f t="shared" ca="1" si="0"/>
        <v>24</v>
      </c>
      <c r="AJ5" s="1">
        <f t="shared" ca="1" si="0"/>
        <v>7</v>
      </c>
      <c r="AK5" s="1">
        <f t="shared" ca="1" si="0"/>
        <v>25</v>
      </c>
      <c r="AL5" s="1">
        <f t="shared" ca="1" si="0"/>
        <v>10</v>
      </c>
      <c r="AN5" t="s">
        <v>8</v>
      </c>
      <c r="AO5" s="1">
        <v>5</v>
      </c>
      <c r="AR5" t="s">
        <v>113</v>
      </c>
      <c r="AS5" s="7">
        <v>6371</v>
      </c>
      <c r="AU5" s="8">
        <f>AT7*AT4</f>
        <v>401926.91000000003</v>
      </c>
    </row>
    <row r="6" spans="1:47" x14ac:dyDescent="0.25">
      <c r="A6" s="1">
        <v>5</v>
      </c>
      <c r="B6" s="1" t="s">
        <v>41</v>
      </c>
      <c r="C6" s="3" t="s">
        <v>30</v>
      </c>
      <c r="D6" s="3" t="s">
        <v>51</v>
      </c>
      <c r="E6" s="3" t="s">
        <v>36</v>
      </c>
      <c r="F6" s="1" t="s">
        <v>44</v>
      </c>
      <c r="G6" s="1" t="s">
        <v>35</v>
      </c>
      <c r="H6" s="2" t="s">
        <v>44</v>
      </c>
      <c r="I6" s="1" t="s">
        <v>33</v>
      </c>
      <c r="J6" s="1" t="s">
        <v>40</v>
      </c>
      <c r="K6" s="1" t="s">
        <v>51</v>
      </c>
      <c r="L6" s="2" t="s">
        <v>50</v>
      </c>
      <c r="M6" s="2" t="s">
        <v>38</v>
      </c>
      <c r="N6" s="2" t="s">
        <v>31</v>
      </c>
      <c r="O6" s="2" t="s">
        <v>41</v>
      </c>
      <c r="P6" s="1" t="s">
        <v>50</v>
      </c>
      <c r="R6" s="1">
        <v>5</v>
      </c>
      <c r="S6" s="1">
        <f t="shared" ca="1" si="1"/>
        <v>24</v>
      </c>
      <c r="T6" s="1">
        <f t="shared" ca="1" si="0"/>
        <v>1</v>
      </c>
      <c r="U6" s="1">
        <f t="shared" ca="1" si="0"/>
        <v>25</v>
      </c>
      <c r="V6" s="1">
        <f t="shared" ca="1" si="0"/>
        <v>12</v>
      </c>
      <c r="W6" s="1">
        <f t="shared" ca="1" si="0"/>
        <v>17</v>
      </c>
      <c r="X6" s="1">
        <f t="shared" ca="1" si="0"/>
        <v>2</v>
      </c>
      <c r="Y6" s="1">
        <f t="shared" ca="1" si="0"/>
        <v>11</v>
      </c>
      <c r="Z6" s="1">
        <f t="shared" ca="1" si="0"/>
        <v>12</v>
      </c>
      <c r="AA6" s="1">
        <f t="shared" ca="1" si="0"/>
        <v>11</v>
      </c>
      <c r="AB6" s="1">
        <f t="shared" ca="1" si="0"/>
        <v>18</v>
      </c>
      <c r="AC6" s="1">
        <f t="shared" ca="1" si="0"/>
        <v>3</v>
      </c>
      <c r="AD6" s="1">
        <f t="shared" ca="1" si="0"/>
        <v>12</v>
      </c>
      <c r="AE6" s="1">
        <f t="shared" ca="1" si="0"/>
        <v>1</v>
      </c>
      <c r="AF6" s="1">
        <f t="shared" ca="1" si="0"/>
        <v>5</v>
      </c>
      <c r="AG6" s="1">
        <f t="shared" ca="1" si="0"/>
        <v>8</v>
      </c>
      <c r="AH6" s="1">
        <f t="shared" ca="1" si="0"/>
        <v>9</v>
      </c>
      <c r="AI6" s="1">
        <f t="shared" ca="1" si="0"/>
        <v>5</v>
      </c>
      <c r="AJ6" s="1">
        <f t="shared" ca="1" si="0"/>
        <v>11</v>
      </c>
      <c r="AK6" s="1">
        <f t="shared" ca="1" si="0"/>
        <v>1</v>
      </c>
      <c r="AL6" s="1">
        <f t="shared" ca="1" si="0"/>
        <v>15</v>
      </c>
      <c r="AN6" t="s">
        <v>9</v>
      </c>
      <c r="AO6" s="1">
        <v>6</v>
      </c>
      <c r="AS6" s="7"/>
    </row>
    <row r="7" spans="1:47" x14ac:dyDescent="0.25">
      <c r="A7" s="1">
        <v>6</v>
      </c>
      <c r="B7" s="1" t="s">
        <v>52</v>
      </c>
      <c r="C7" s="1" t="s">
        <v>39</v>
      </c>
      <c r="D7" s="3" t="s">
        <v>30</v>
      </c>
      <c r="E7" s="1" t="s">
        <v>48</v>
      </c>
      <c r="F7" s="1" t="s">
        <v>31</v>
      </c>
      <c r="G7" s="2" t="s">
        <v>40</v>
      </c>
      <c r="H7" s="1" t="s">
        <v>29</v>
      </c>
      <c r="I7" s="1" t="s">
        <v>32</v>
      </c>
      <c r="J7" s="1" t="s">
        <v>42</v>
      </c>
      <c r="K7" s="1" t="s">
        <v>35</v>
      </c>
      <c r="L7" s="1" t="s">
        <v>42</v>
      </c>
      <c r="M7" s="1" t="s">
        <v>32</v>
      </c>
      <c r="N7" s="1" t="s">
        <v>36</v>
      </c>
      <c r="O7" s="2" t="s">
        <v>31</v>
      </c>
      <c r="P7" s="1" t="s">
        <v>51</v>
      </c>
      <c r="R7" s="1">
        <v>6</v>
      </c>
      <c r="S7" s="1">
        <f t="shared" ca="1" si="1"/>
        <v>17</v>
      </c>
      <c r="T7" s="1">
        <f t="shared" ca="1" si="0"/>
        <v>3</v>
      </c>
      <c r="U7" s="1">
        <f t="shared" ca="1" si="0"/>
        <v>21</v>
      </c>
      <c r="V7" s="1">
        <f t="shared" ca="1" si="0"/>
        <v>15</v>
      </c>
      <c r="W7" s="1">
        <f t="shared" ca="1" si="0"/>
        <v>8</v>
      </c>
      <c r="X7" s="1">
        <f t="shared" ca="1" si="0"/>
        <v>11</v>
      </c>
      <c r="Y7" s="1">
        <f t="shared" ca="1" si="0"/>
        <v>18</v>
      </c>
      <c r="Z7" s="1">
        <f t="shared" ca="1" si="0"/>
        <v>16</v>
      </c>
      <c r="AA7" s="1">
        <f t="shared" ca="1" si="0"/>
        <v>24</v>
      </c>
      <c r="AB7" s="1">
        <f t="shared" ca="1" si="0"/>
        <v>8</v>
      </c>
      <c r="AC7" s="1">
        <f t="shared" ca="1" si="0"/>
        <v>5</v>
      </c>
      <c r="AD7" s="1">
        <f t="shared" ca="1" si="0"/>
        <v>5</v>
      </c>
      <c r="AE7" s="1">
        <f t="shared" ca="1" si="0"/>
        <v>21</v>
      </c>
      <c r="AF7" s="1">
        <f t="shared" ca="1" si="0"/>
        <v>9</v>
      </c>
      <c r="AG7" s="1">
        <f t="shared" ca="1" si="0"/>
        <v>14</v>
      </c>
      <c r="AH7" s="1">
        <f t="shared" ca="1" si="0"/>
        <v>14</v>
      </c>
      <c r="AI7" s="1">
        <f t="shared" ca="1" si="0"/>
        <v>25</v>
      </c>
      <c r="AJ7" s="1">
        <f t="shared" ca="1" si="0"/>
        <v>19</v>
      </c>
      <c r="AK7" s="1">
        <f t="shared" ca="1" si="0"/>
        <v>19</v>
      </c>
      <c r="AL7" s="1">
        <f t="shared" ca="1" si="0"/>
        <v>16</v>
      </c>
      <c r="AN7" t="s">
        <v>10</v>
      </c>
      <c r="AO7" s="1">
        <v>7</v>
      </c>
      <c r="AS7" s="7">
        <f>(AS3/(AS4^2))</f>
        <v>6779</v>
      </c>
      <c r="AT7" s="7">
        <f>AS5+408</f>
        <v>6779</v>
      </c>
    </row>
    <row r="8" spans="1:47" x14ac:dyDescent="0.25">
      <c r="A8" s="1">
        <v>7</v>
      </c>
      <c r="B8" s="1" t="s">
        <v>49</v>
      </c>
      <c r="C8" s="1" t="s">
        <v>37</v>
      </c>
      <c r="D8" s="3" t="s">
        <v>30</v>
      </c>
      <c r="E8" s="1" t="s">
        <v>38</v>
      </c>
      <c r="F8" s="2" t="s">
        <v>52</v>
      </c>
      <c r="G8" s="1" t="s">
        <v>39</v>
      </c>
      <c r="H8" s="1" t="s">
        <v>35</v>
      </c>
      <c r="I8" s="1" t="s">
        <v>36</v>
      </c>
      <c r="J8" s="1" t="s">
        <v>48</v>
      </c>
      <c r="K8" s="1" t="s">
        <v>39</v>
      </c>
      <c r="L8" s="1" t="s">
        <v>28</v>
      </c>
      <c r="M8" s="1" t="s">
        <v>38</v>
      </c>
      <c r="N8" s="1" t="s">
        <v>43</v>
      </c>
      <c r="O8" s="2" t="s">
        <v>38</v>
      </c>
      <c r="P8" s="1" t="s">
        <v>36</v>
      </c>
      <c r="R8" s="1">
        <v>7</v>
      </c>
      <c r="S8" s="1">
        <f t="shared" ca="1" si="1"/>
        <v>14</v>
      </c>
      <c r="T8" s="1">
        <f t="shared" ca="1" si="0"/>
        <v>18</v>
      </c>
      <c r="U8" s="1">
        <f t="shared" ca="1" si="0"/>
        <v>13</v>
      </c>
      <c r="V8" s="1">
        <f t="shared" ca="1" si="0"/>
        <v>3</v>
      </c>
      <c r="W8" s="1">
        <f t="shared" ca="1" si="0"/>
        <v>13</v>
      </c>
      <c r="X8" s="1">
        <f t="shared" ca="1" si="0"/>
        <v>15</v>
      </c>
      <c r="Y8" s="1">
        <f t="shared" ca="1" si="0"/>
        <v>7</v>
      </c>
      <c r="Z8" s="1">
        <f t="shared" ca="1" si="0"/>
        <v>6</v>
      </c>
      <c r="AA8" s="1">
        <f t="shared" ca="1" si="0"/>
        <v>20</v>
      </c>
      <c r="AB8" s="1">
        <f t="shared" ca="1" si="0"/>
        <v>1</v>
      </c>
      <c r="AC8" s="1">
        <f t="shared" ca="1" si="0"/>
        <v>21</v>
      </c>
      <c r="AD8" s="1">
        <f t="shared" ca="1" si="0"/>
        <v>4</v>
      </c>
      <c r="AE8" s="1">
        <f t="shared" ca="1" si="0"/>
        <v>14</v>
      </c>
      <c r="AF8" s="1">
        <f t="shared" ca="1" si="0"/>
        <v>6</v>
      </c>
      <c r="AG8" s="1">
        <f t="shared" ca="1" si="0"/>
        <v>12</v>
      </c>
      <c r="AH8" s="1">
        <f t="shared" ca="1" si="0"/>
        <v>3</v>
      </c>
      <c r="AI8" s="1">
        <f t="shared" ca="1" si="0"/>
        <v>7</v>
      </c>
      <c r="AJ8" s="1">
        <f t="shared" ca="1" si="0"/>
        <v>20</v>
      </c>
      <c r="AK8" s="1">
        <f t="shared" ca="1" si="0"/>
        <v>23</v>
      </c>
      <c r="AL8" s="1">
        <f t="shared" ca="1" si="0"/>
        <v>13</v>
      </c>
      <c r="AN8" t="s">
        <v>2</v>
      </c>
      <c r="AO8" s="1">
        <v>8</v>
      </c>
      <c r="AS8" s="7"/>
    </row>
    <row r="9" spans="1:47" x14ac:dyDescent="0.25">
      <c r="A9" s="1">
        <v>8</v>
      </c>
      <c r="B9" s="1" t="s">
        <v>32</v>
      </c>
      <c r="C9" s="1" t="s">
        <v>50</v>
      </c>
      <c r="D9" s="3" t="s">
        <v>44</v>
      </c>
      <c r="E9" s="1" t="s">
        <v>39</v>
      </c>
      <c r="F9" s="1" t="s">
        <v>51</v>
      </c>
      <c r="G9" s="1" t="s">
        <v>39</v>
      </c>
      <c r="H9" s="1" t="s">
        <v>41</v>
      </c>
      <c r="I9" s="1" t="s">
        <v>52</v>
      </c>
      <c r="J9" s="1" t="s">
        <v>40</v>
      </c>
      <c r="K9" s="1" t="s">
        <v>40</v>
      </c>
      <c r="L9" s="2" t="s">
        <v>39</v>
      </c>
      <c r="M9" s="2" t="s">
        <v>51</v>
      </c>
      <c r="N9" s="2" t="s">
        <v>40</v>
      </c>
      <c r="O9" s="2" t="s">
        <v>50</v>
      </c>
      <c r="P9" s="1" t="s">
        <v>32</v>
      </c>
      <c r="R9" s="1">
        <v>8</v>
      </c>
      <c r="S9" s="1">
        <f t="shared" ca="1" si="1"/>
        <v>9</v>
      </c>
      <c r="T9" s="1">
        <f t="shared" ca="1" si="0"/>
        <v>25</v>
      </c>
      <c r="U9" s="1">
        <f t="shared" ca="1" si="0"/>
        <v>2</v>
      </c>
      <c r="V9" s="1">
        <f t="shared" ca="1" si="0"/>
        <v>14</v>
      </c>
      <c r="W9" s="1">
        <f t="shared" ca="1" si="0"/>
        <v>24</v>
      </c>
      <c r="X9" s="1">
        <f t="shared" ca="1" si="0"/>
        <v>15</v>
      </c>
      <c r="Y9" s="1">
        <f t="shared" ca="1" si="0"/>
        <v>21</v>
      </c>
      <c r="Z9" s="1">
        <f t="shared" ca="1" si="0"/>
        <v>11</v>
      </c>
      <c r="AA9" s="1">
        <f t="shared" ca="1" si="0"/>
        <v>19</v>
      </c>
      <c r="AB9" s="1">
        <f t="shared" ca="1" si="0"/>
        <v>17</v>
      </c>
      <c r="AC9" s="1">
        <f t="shared" ca="1" si="0"/>
        <v>18</v>
      </c>
      <c r="AD9" s="1">
        <f t="shared" ca="1" si="0"/>
        <v>5</v>
      </c>
      <c r="AE9" s="1">
        <f t="shared" ca="1" si="0"/>
        <v>2</v>
      </c>
      <c r="AF9" s="1">
        <f t="shared" ca="1" si="0"/>
        <v>10</v>
      </c>
      <c r="AG9" s="1">
        <f t="shared" ca="1" si="0"/>
        <v>2</v>
      </c>
      <c r="AH9" s="1">
        <f t="shared" ca="1" si="0"/>
        <v>17</v>
      </c>
      <c r="AI9" s="1">
        <f t="shared" ca="1" si="0"/>
        <v>19</v>
      </c>
      <c r="AJ9" s="1">
        <f t="shared" ca="1" si="0"/>
        <v>13</v>
      </c>
      <c r="AK9" s="1">
        <f t="shared" ca="1" si="0"/>
        <v>13</v>
      </c>
      <c r="AL9" s="1">
        <f t="shared" ca="1" si="0"/>
        <v>5</v>
      </c>
      <c r="AN9" t="s">
        <v>11</v>
      </c>
      <c r="AO9" s="1">
        <v>9</v>
      </c>
      <c r="AR9" t="s">
        <v>114</v>
      </c>
      <c r="AS9" s="7">
        <f>(AS3/(AS4^2))-AS5</f>
        <v>408</v>
      </c>
    </row>
    <row r="10" spans="1:47" x14ac:dyDescent="0.25">
      <c r="A10" s="1">
        <v>9</v>
      </c>
      <c r="B10" s="1" t="s">
        <v>38</v>
      </c>
      <c r="C10" s="1" t="s">
        <v>33</v>
      </c>
      <c r="D10" s="3" t="s">
        <v>53</v>
      </c>
      <c r="E10" s="1" t="s">
        <v>39</v>
      </c>
      <c r="F10" s="1" t="s">
        <v>30</v>
      </c>
      <c r="G10" s="1" t="s">
        <v>44</v>
      </c>
      <c r="H10" s="1" t="s">
        <v>48</v>
      </c>
      <c r="I10" s="1" t="s">
        <v>38</v>
      </c>
      <c r="J10" s="1" t="s">
        <v>45</v>
      </c>
      <c r="K10" s="1" t="s">
        <v>47</v>
      </c>
      <c r="L10" s="1" t="s">
        <v>46</v>
      </c>
      <c r="M10" s="1" t="s">
        <v>53</v>
      </c>
      <c r="N10" s="1" t="s">
        <v>43</v>
      </c>
      <c r="O10" s="2" t="s">
        <v>41</v>
      </c>
      <c r="P10" s="1" t="s">
        <v>47</v>
      </c>
      <c r="R10" s="1">
        <v>9</v>
      </c>
      <c r="S10" s="1">
        <f t="shared" ca="1" si="1"/>
        <v>25</v>
      </c>
      <c r="T10" s="1">
        <f t="shared" ca="1" si="0"/>
        <v>9</v>
      </c>
      <c r="U10" s="1">
        <f t="shared" ca="1" si="0"/>
        <v>12</v>
      </c>
      <c r="V10" s="1">
        <f t="shared" ca="1" si="0"/>
        <v>1</v>
      </c>
      <c r="W10" s="1">
        <f t="shared" ca="1" si="0"/>
        <v>2</v>
      </c>
      <c r="X10" s="1">
        <f t="shared" ca="1" si="0"/>
        <v>20</v>
      </c>
      <c r="Y10" s="1">
        <f t="shared" ca="1" si="0"/>
        <v>14</v>
      </c>
      <c r="Z10" s="1">
        <f t="shared" ca="1" si="0"/>
        <v>16</v>
      </c>
      <c r="AA10" s="1">
        <f t="shared" ca="1" si="0"/>
        <v>18</v>
      </c>
      <c r="AB10" s="1">
        <f t="shared" ca="1" si="0"/>
        <v>23</v>
      </c>
      <c r="AC10" s="1">
        <f t="shared" ca="1" si="0"/>
        <v>2</v>
      </c>
      <c r="AD10" s="1">
        <f t="shared" ca="1" si="0"/>
        <v>17</v>
      </c>
      <c r="AE10" s="1">
        <f t="shared" ca="1" si="0"/>
        <v>21</v>
      </c>
      <c r="AF10" s="1">
        <f t="shared" ca="1" si="0"/>
        <v>3</v>
      </c>
      <c r="AG10" s="1">
        <f t="shared" ca="1" si="0"/>
        <v>2</v>
      </c>
      <c r="AH10" s="1">
        <f t="shared" ca="1" si="0"/>
        <v>9</v>
      </c>
      <c r="AI10" s="1">
        <f t="shared" ca="1" si="0"/>
        <v>21</v>
      </c>
      <c r="AJ10" s="1">
        <f t="shared" ca="1" si="0"/>
        <v>20</v>
      </c>
      <c r="AK10" s="1">
        <f t="shared" ca="1" si="0"/>
        <v>1</v>
      </c>
      <c r="AL10" s="1">
        <f t="shared" ca="1" si="0"/>
        <v>20</v>
      </c>
      <c r="AN10" t="s">
        <v>12</v>
      </c>
      <c r="AO10" s="1">
        <v>10</v>
      </c>
    </row>
    <row r="11" spans="1:47" x14ac:dyDescent="0.25">
      <c r="A11" s="1">
        <v>10</v>
      </c>
      <c r="B11" s="1" t="s">
        <v>39</v>
      </c>
      <c r="C11" s="1" t="s">
        <v>51</v>
      </c>
      <c r="D11" s="3" t="s">
        <v>43</v>
      </c>
      <c r="E11" s="1" t="s">
        <v>28</v>
      </c>
      <c r="F11" s="1" t="s">
        <v>42</v>
      </c>
      <c r="G11" s="1" t="s">
        <v>46</v>
      </c>
      <c r="H11" s="1" t="s">
        <v>43</v>
      </c>
      <c r="I11" s="1" t="s">
        <v>42</v>
      </c>
      <c r="J11" s="1" t="s">
        <v>44</v>
      </c>
      <c r="K11" s="1" t="s">
        <v>44</v>
      </c>
      <c r="L11" s="1" t="s">
        <v>49</v>
      </c>
      <c r="M11" s="1" t="s">
        <v>31</v>
      </c>
      <c r="N11" s="1" t="s">
        <v>40</v>
      </c>
      <c r="O11" s="2" t="s">
        <v>31</v>
      </c>
      <c r="P11" s="1" t="s">
        <v>40</v>
      </c>
      <c r="R11" s="1">
        <v>10</v>
      </c>
      <c r="S11" s="1">
        <f t="shared" ca="1" si="1"/>
        <v>8</v>
      </c>
      <c r="T11" s="1">
        <f t="shared" ca="1" si="0"/>
        <v>4</v>
      </c>
      <c r="U11" s="1">
        <f t="shared" ca="1" si="0"/>
        <v>20</v>
      </c>
      <c r="V11" s="1">
        <f t="shared" ca="1" si="0"/>
        <v>25</v>
      </c>
      <c r="W11" s="1">
        <f t="shared" ca="1" si="0"/>
        <v>11</v>
      </c>
      <c r="X11" s="1">
        <f t="shared" ca="1" si="0"/>
        <v>15</v>
      </c>
      <c r="Y11" s="1">
        <f t="shared" ca="1" si="0"/>
        <v>26</v>
      </c>
      <c r="Z11" s="1">
        <f t="shared" ca="1" si="0"/>
        <v>9</v>
      </c>
      <c r="AA11" s="1">
        <f t="shared" ca="1" si="0"/>
        <v>24</v>
      </c>
      <c r="AB11" s="1">
        <f t="shared" ca="1" si="0"/>
        <v>13</v>
      </c>
      <c r="AC11" s="1">
        <f t="shared" ca="1" si="0"/>
        <v>9</v>
      </c>
      <c r="AD11" s="1">
        <f t="shared" ca="1" si="0"/>
        <v>10</v>
      </c>
      <c r="AE11" s="1">
        <f t="shared" ca="1" si="0"/>
        <v>4</v>
      </c>
      <c r="AF11" s="1">
        <f t="shared" ca="1" si="0"/>
        <v>21</v>
      </c>
      <c r="AG11" s="1">
        <f t="shared" ca="1" si="0"/>
        <v>2</v>
      </c>
      <c r="AH11" s="1">
        <f t="shared" ca="1" si="0"/>
        <v>18</v>
      </c>
      <c r="AI11" s="1">
        <f t="shared" ca="1" si="0"/>
        <v>18</v>
      </c>
      <c r="AJ11" s="1">
        <f t="shared" ca="1" si="0"/>
        <v>6</v>
      </c>
      <c r="AK11" s="1">
        <f t="shared" ca="1" si="0"/>
        <v>13</v>
      </c>
      <c r="AL11" s="1">
        <f t="shared" ca="1" si="0"/>
        <v>21</v>
      </c>
      <c r="AN11" t="s">
        <v>13</v>
      </c>
      <c r="AO11" s="1">
        <v>11</v>
      </c>
      <c r="AS11" s="10" t="s">
        <v>130</v>
      </c>
    </row>
    <row r="12" spans="1:47" x14ac:dyDescent="0.25">
      <c r="A12" s="1">
        <v>11</v>
      </c>
      <c r="B12" s="1" t="s">
        <v>32</v>
      </c>
      <c r="C12" s="1" t="s">
        <v>38</v>
      </c>
      <c r="D12" s="1" t="s">
        <v>33</v>
      </c>
      <c r="E12" s="1" t="s">
        <v>36</v>
      </c>
      <c r="F12" s="1" t="s">
        <v>47</v>
      </c>
      <c r="G12" s="1" t="s">
        <v>29</v>
      </c>
      <c r="H12" s="1" t="s">
        <v>34</v>
      </c>
      <c r="I12" s="1" t="s">
        <v>28</v>
      </c>
      <c r="J12" s="1" t="s">
        <v>43</v>
      </c>
      <c r="K12" s="1" t="s">
        <v>32</v>
      </c>
      <c r="L12" s="1" t="s">
        <v>36</v>
      </c>
      <c r="M12" s="1" t="s">
        <v>44</v>
      </c>
      <c r="N12" s="1" t="s">
        <v>41</v>
      </c>
      <c r="O12" s="2" t="s">
        <v>38</v>
      </c>
      <c r="P12" s="1" t="s">
        <v>42</v>
      </c>
      <c r="R12" s="1">
        <v>11</v>
      </c>
      <c r="S12" s="1">
        <f t="shared" ca="1" si="1"/>
        <v>24</v>
      </c>
      <c r="T12" s="1">
        <f t="shared" ca="1" si="0"/>
        <v>26</v>
      </c>
      <c r="U12" s="1">
        <f t="shared" ca="1" si="0"/>
        <v>24</v>
      </c>
      <c r="V12" s="1">
        <f t="shared" ca="1" si="0"/>
        <v>1</v>
      </c>
      <c r="W12" s="1">
        <f t="shared" ca="1" si="0"/>
        <v>26</v>
      </c>
      <c r="X12" s="1">
        <f t="shared" ca="1" si="0"/>
        <v>2</v>
      </c>
      <c r="Y12" s="1">
        <f t="shared" ca="1" si="0"/>
        <v>1</v>
      </c>
      <c r="Z12" s="1">
        <f t="shared" ca="1" si="0"/>
        <v>19</v>
      </c>
      <c r="AA12" s="1">
        <f t="shared" ca="1" si="0"/>
        <v>17</v>
      </c>
      <c r="AB12" s="1">
        <f t="shared" ca="1" si="0"/>
        <v>23</v>
      </c>
      <c r="AC12" s="1">
        <f t="shared" ca="1" si="0"/>
        <v>15</v>
      </c>
      <c r="AD12" s="1">
        <f t="shared" ca="1" si="0"/>
        <v>6</v>
      </c>
      <c r="AE12" s="1">
        <f t="shared" ca="1" si="0"/>
        <v>4</v>
      </c>
      <c r="AF12" s="1">
        <f t="shared" ca="1" si="0"/>
        <v>11</v>
      </c>
      <c r="AG12" s="1">
        <f t="shared" ca="1" si="0"/>
        <v>2</v>
      </c>
      <c r="AH12" s="1">
        <f t="shared" ca="1" si="0"/>
        <v>16</v>
      </c>
      <c r="AI12" s="1">
        <f t="shared" ca="1" si="0"/>
        <v>15</v>
      </c>
      <c r="AJ12" s="1">
        <f t="shared" ca="1" si="0"/>
        <v>21</v>
      </c>
      <c r="AK12" s="1">
        <f t="shared" ca="1" si="0"/>
        <v>3</v>
      </c>
      <c r="AL12" s="1">
        <f t="shared" ca="1" si="0"/>
        <v>20</v>
      </c>
      <c r="AN12" t="s">
        <v>14</v>
      </c>
      <c r="AO12" s="1">
        <v>12</v>
      </c>
    </row>
    <row r="13" spans="1:47" x14ac:dyDescent="0.25">
      <c r="A13" s="1">
        <v>12</v>
      </c>
      <c r="B13" s="1" t="s">
        <v>51</v>
      </c>
      <c r="C13" s="1" t="s">
        <v>52</v>
      </c>
      <c r="D13" s="1" t="s">
        <v>31</v>
      </c>
      <c r="E13" s="1" t="s">
        <v>41</v>
      </c>
      <c r="F13" s="1" t="s">
        <v>39</v>
      </c>
      <c r="G13" s="1" t="s">
        <v>33</v>
      </c>
      <c r="H13" s="1" t="s">
        <v>48</v>
      </c>
      <c r="I13" s="1" t="s">
        <v>43</v>
      </c>
      <c r="J13" s="1" t="s">
        <v>42</v>
      </c>
      <c r="K13" s="1" t="s">
        <v>33</v>
      </c>
      <c r="L13" s="2" t="s">
        <v>33</v>
      </c>
      <c r="M13" s="2" t="s">
        <v>48</v>
      </c>
      <c r="N13" s="2" t="s">
        <v>51</v>
      </c>
      <c r="O13" s="2" t="s">
        <v>29</v>
      </c>
      <c r="P13" s="1" t="s">
        <v>35</v>
      </c>
      <c r="R13" s="1">
        <v>12</v>
      </c>
      <c r="S13" s="1">
        <f t="shared" ca="1" si="1"/>
        <v>4</v>
      </c>
      <c r="T13" s="1">
        <f t="shared" ca="1" si="0"/>
        <v>18</v>
      </c>
      <c r="U13" s="1">
        <f t="shared" ca="1" si="0"/>
        <v>7</v>
      </c>
      <c r="V13" s="1">
        <f t="shared" ca="1" si="0"/>
        <v>4</v>
      </c>
      <c r="W13" s="1">
        <f t="shared" ca="1" si="0"/>
        <v>12</v>
      </c>
      <c r="X13" s="1">
        <f t="shared" ca="1" si="0"/>
        <v>22</v>
      </c>
      <c r="Y13" s="1">
        <f t="shared" ca="1" si="0"/>
        <v>16</v>
      </c>
      <c r="Z13" s="1">
        <f t="shared" ca="1" si="0"/>
        <v>21</v>
      </c>
      <c r="AA13" s="1">
        <f t="shared" ca="1" si="0"/>
        <v>6</v>
      </c>
      <c r="AB13" s="1">
        <f t="shared" ca="1" si="0"/>
        <v>10</v>
      </c>
      <c r="AC13" s="1">
        <f t="shared" ca="1" si="0"/>
        <v>5</v>
      </c>
      <c r="AD13" s="1">
        <f t="shared" ca="1" si="0"/>
        <v>16</v>
      </c>
      <c r="AE13" s="1">
        <f t="shared" ca="1" si="0"/>
        <v>26</v>
      </c>
      <c r="AF13" s="1">
        <f t="shared" ca="1" si="0"/>
        <v>15</v>
      </c>
      <c r="AG13" s="1">
        <f t="shared" ca="1" si="0"/>
        <v>10</v>
      </c>
      <c r="AH13" s="1">
        <f t="shared" ca="1" si="0"/>
        <v>1</v>
      </c>
      <c r="AI13" s="1">
        <f t="shared" ca="1" si="0"/>
        <v>23</v>
      </c>
      <c r="AJ13" s="1">
        <f t="shared" ca="1" si="0"/>
        <v>2</v>
      </c>
      <c r="AK13" s="1">
        <f t="shared" ca="1" si="0"/>
        <v>3</v>
      </c>
      <c r="AL13" s="1">
        <f t="shared" ca="1" si="0"/>
        <v>17</v>
      </c>
      <c r="AN13" t="s">
        <v>15</v>
      </c>
      <c r="AO13" s="1">
        <v>13</v>
      </c>
      <c r="AS13" s="7">
        <f>AS9+6</f>
        <v>414</v>
      </c>
    </row>
    <row r="14" spans="1:47" x14ac:dyDescent="0.25">
      <c r="A14" s="1">
        <v>13</v>
      </c>
      <c r="B14" s="1" t="s">
        <v>51</v>
      </c>
      <c r="C14" s="1" t="s">
        <v>53</v>
      </c>
      <c r="D14" s="1" t="s">
        <v>38</v>
      </c>
      <c r="E14" s="1" t="s">
        <v>48</v>
      </c>
      <c r="F14" s="1" t="s">
        <v>53</v>
      </c>
      <c r="G14" s="1" t="s">
        <v>51</v>
      </c>
      <c r="H14" s="1" t="s">
        <v>51</v>
      </c>
      <c r="I14" s="1" t="s">
        <v>48</v>
      </c>
      <c r="J14" s="1" t="s">
        <v>30</v>
      </c>
      <c r="K14" s="1" t="s">
        <v>42</v>
      </c>
      <c r="L14" s="1" t="s">
        <v>39</v>
      </c>
      <c r="M14" s="1" t="s">
        <v>51</v>
      </c>
      <c r="N14" s="1" t="s">
        <v>48</v>
      </c>
      <c r="O14" s="1" t="s">
        <v>49</v>
      </c>
      <c r="P14" s="1" t="s">
        <v>31</v>
      </c>
      <c r="R14" s="1">
        <v>13</v>
      </c>
      <c r="S14" s="1">
        <f t="shared" ca="1" si="1"/>
        <v>2</v>
      </c>
      <c r="T14" s="1">
        <f t="shared" ca="1" si="0"/>
        <v>17</v>
      </c>
      <c r="U14" s="1">
        <f t="shared" ca="1" si="0"/>
        <v>16</v>
      </c>
      <c r="V14" s="1">
        <f t="shared" ca="1" si="0"/>
        <v>25</v>
      </c>
      <c r="W14" s="1">
        <f t="shared" ca="1" si="0"/>
        <v>19</v>
      </c>
      <c r="X14" s="1">
        <f t="shared" ca="1" si="0"/>
        <v>4</v>
      </c>
      <c r="Y14" s="1">
        <f t="shared" ca="1" si="0"/>
        <v>3</v>
      </c>
      <c r="Z14" s="1">
        <f t="shared" ca="1" si="0"/>
        <v>18</v>
      </c>
      <c r="AA14" s="1">
        <f t="shared" ca="1" si="0"/>
        <v>17</v>
      </c>
      <c r="AB14" s="1">
        <f t="shared" ca="1" si="0"/>
        <v>21</v>
      </c>
      <c r="AC14" s="1">
        <f t="shared" ca="1" si="0"/>
        <v>16</v>
      </c>
      <c r="AD14" s="1">
        <f t="shared" ca="1" si="0"/>
        <v>13</v>
      </c>
      <c r="AE14" s="1">
        <f t="shared" ca="1" si="0"/>
        <v>12</v>
      </c>
      <c r="AF14" s="1">
        <f t="shared" ca="1" si="0"/>
        <v>20</v>
      </c>
      <c r="AG14" s="1">
        <f t="shared" ca="1" si="0"/>
        <v>3</v>
      </c>
      <c r="AH14" s="1">
        <f t="shared" ca="1" si="0"/>
        <v>15</v>
      </c>
      <c r="AI14" s="1">
        <f t="shared" ca="1" si="0"/>
        <v>2</v>
      </c>
      <c r="AJ14" s="1">
        <f t="shared" ca="1" si="0"/>
        <v>3</v>
      </c>
      <c r="AK14" s="1">
        <f t="shared" ca="1" si="0"/>
        <v>22</v>
      </c>
      <c r="AL14" s="1">
        <f t="shared" ca="1" si="0"/>
        <v>6</v>
      </c>
      <c r="AN14" t="s">
        <v>16</v>
      </c>
      <c r="AO14" s="1">
        <v>14</v>
      </c>
    </row>
    <row r="15" spans="1:47" x14ac:dyDescent="0.25">
      <c r="A15" s="1">
        <v>14</v>
      </c>
      <c r="B15" s="1" t="s">
        <v>39</v>
      </c>
      <c r="C15" s="1" t="s">
        <v>37</v>
      </c>
      <c r="D15" s="1" t="s">
        <v>35</v>
      </c>
      <c r="E15" s="1" t="s">
        <v>45</v>
      </c>
      <c r="F15" s="1" t="s">
        <v>35</v>
      </c>
      <c r="G15" s="1" t="s">
        <v>33</v>
      </c>
      <c r="H15" s="1" t="s">
        <v>47</v>
      </c>
      <c r="I15" s="1" t="s">
        <v>45</v>
      </c>
      <c r="J15" s="1" t="s">
        <v>32</v>
      </c>
      <c r="K15" s="1" t="s">
        <v>42</v>
      </c>
      <c r="L15" s="1" t="s">
        <v>42</v>
      </c>
      <c r="M15" s="1" t="s">
        <v>30</v>
      </c>
      <c r="N15" s="1" t="s">
        <v>47</v>
      </c>
      <c r="O15" s="1" t="s">
        <v>41</v>
      </c>
      <c r="P15" s="1" t="s">
        <v>44</v>
      </c>
      <c r="R15" s="1">
        <v>14</v>
      </c>
      <c r="S15" s="1">
        <f t="shared" ca="1" si="1"/>
        <v>2</v>
      </c>
      <c r="T15" s="1">
        <f t="shared" ca="1" si="0"/>
        <v>21</v>
      </c>
      <c r="U15" s="1">
        <f t="shared" ca="1" si="0"/>
        <v>8</v>
      </c>
      <c r="V15" s="1">
        <f t="shared" ca="1" si="0"/>
        <v>10</v>
      </c>
      <c r="W15" s="1">
        <f t="shared" ca="1" si="0"/>
        <v>8</v>
      </c>
      <c r="X15" s="1">
        <f t="shared" ca="1" si="0"/>
        <v>8</v>
      </c>
      <c r="Y15" s="1">
        <f t="shared" ca="1" si="0"/>
        <v>22</v>
      </c>
      <c r="Z15" s="1">
        <f t="shared" ca="1" si="0"/>
        <v>2</v>
      </c>
      <c r="AA15" s="1">
        <f t="shared" ca="1" si="0"/>
        <v>18</v>
      </c>
      <c r="AB15" s="1">
        <f t="shared" ref="AB15:AL16" ca="1" si="2">MAX(ROUND(RAND()*26,0),1)</f>
        <v>21</v>
      </c>
      <c r="AC15" s="1">
        <f t="shared" ca="1" si="2"/>
        <v>25</v>
      </c>
      <c r="AD15" s="1">
        <f t="shared" ca="1" si="2"/>
        <v>5</v>
      </c>
      <c r="AE15" s="1">
        <f t="shared" ca="1" si="2"/>
        <v>26</v>
      </c>
      <c r="AF15" s="1">
        <f t="shared" ca="1" si="2"/>
        <v>24</v>
      </c>
      <c r="AG15" s="1">
        <f t="shared" ca="1" si="2"/>
        <v>21</v>
      </c>
      <c r="AH15" s="1">
        <f t="shared" ca="1" si="2"/>
        <v>12</v>
      </c>
      <c r="AI15" s="1">
        <f t="shared" ca="1" si="2"/>
        <v>2</v>
      </c>
      <c r="AJ15" s="1">
        <f t="shared" ca="1" si="2"/>
        <v>1</v>
      </c>
      <c r="AK15" s="1">
        <f t="shared" ca="1" si="2"/>
        <v>9</v>
      </c>
      <c r="AL15" s="1">
        <f t="shared" ca="1" si="2"/>
        <v>22</v>
      </c>
      <c r="AN15" t="s">
        <v>17</v>
      </c>
      <c r="AO15" s="1">
        <v>15</v>
      </c>
    </row>
    <row r="16" spans="1:47" x14ac:dyDescent="0.25">
      <c r="A16" s="1">
        <v>15</v>
      </c>
      <c r="B16" s="1" t="s">
        <v>36</v>
      </c>
      <c r="C16" s="1" t="s">
        <v>53</v>
      </c>
      <c r="D16" s="1" t="s">
        <v>46</v>
      </c>
      <c r="E16" s="1" t="s">
        <v>34</v>
      </c>
      <c r="F16" s="1" t="s">
        <v>38</v>
      </c>
      <c r="G16" s="1" t="s">
        <v>52</v>
      </c>
      <c r="H16" s="1" t="s">
        <v>34</v>
      </c>
      <c r="I16" s="1" t="s">
        <v>53</v>
      </c>
      <c r="J16" s="1" t="s">
        <v>46</v>
      </c>
      <c r="K16" s="1" t="s">
        <v>51</v>
      </c>
      <c r="L16" s="1" t="s">
        <v>49</v>
      </c>
      <c r="M16" s="1" t="s">
        <v>37</v>
      </c>
      <c r="N16" s="1" t="s">
        <v>36</v>
      </c>
      <c r="O16" s="1" t="s">
        <v>43</v>
      </c>
      <c r="P16" s="1" t="s">
        <v>46</v>
      </c>
      <c r="R16" s="1">
        <v>15</v>
      </c>
      <c r="S16" s="1">
        <f t="shared" ca="1" si="1"/>
        <v>3</v>
      </c>
      <c r="T16" s="1">
        <f t="shared" ca="1" si="1"/>
        <v>9</v>
      </c>
      <c r="U16" s="1">
        <f t="shared" ca="1" si="1"/>
        <v>12</v>
      </c>
      <c r="V16" s="1">
        <f t="shared" ca="1" si="1"/>
        <v>24</v>
      </c>
      <c r="W16" s="1">
        <f t="shared" ca="1" si="1"/>
        <v>23</v>
      </c>
      <c r="X16" s="1">
        <f t="shared" ca="1" si="1"/>
        <v>21</v>
      </c>
      <c r="Y16" s="1">
        <f t="shared" ca="1" si="1"/>
        <v>14</v>
      </c>
      <c r="Z16" s="1">
        <f t="shared" ca="1" si="1"/>
        <v>15</v>
      </c>
      <c r="AA16" s="1">
        <f t="shared" ca="1" si="1"/>
        <v>5</v>
      </c>
      <c r="AB16" s="1">
        <f t="shared" ca="1" si="1"/>
        <v>7</v>
      </c>
      <c r="AC16" s="1">
        <f t="shared" ca="1" si="1"/>
        <v>16</v>
      </c>
      <c r="AD16" s="1">
        <f t="shared" ca="1" si="1"/>
        <v>9</v>
      </c>
      <c r="AE16" s="1">
        <f t="shared" ca="1" si="1"/>
        <v>15</v>
      </c>
      <c r="AF16" s="1">
        <f t="shared" ca="1" si="1"/>
        <v>6</v>
      </c>
      <c r="AG16" s="1">
        <f t="shared" ca="1" si="1"/>
        <v>11</v>
      </c>
      <c r="AH16" s="1">
        <f t="shared" ca="1" si="1"/>
        <v>15</v>
      </c>
      <c r="AI16" s="1">
        <f t="shared" ca="1" si="2"/>
        <v>17</v>
      </c>
      <c r="AJ16" s="1">
        <f t="shared" ca="1" si="2"/>
        <v>25</v>
      </c>
      <c r="AK16" s="1">
        <f t="shared" ca="1" si="2"/>
        <v>4</v>
      </c>
      <c r="AL16" s="1">
        <f t="shared" ca="1" si="2"/>
        <v>9</v>
      </c>
      <c r="AN16" t="s">
        <v>18</v>
      </c>
      <c r="AO16" s="1">
        <v>16</v>
      </c>
      <c r="AR16" t="s">
        <v>126</v>
      </c>
      <c r="AT16">
        <f>SUM(AS18:AS26)</f>
        <v>326</v>
      </c>
    </row>
    <row r="17" spans="1:4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N17" t="s">
        <v>19</v>
      </c>
      <c r="AO17" s="1">
        <v>17</v>
      </c>
    </row>
    <row r="18" spans="1:47" x14ac:dyDescent="0.25">
      <c r="A18" s="1"/>
      <c r="B18" s="1" t="s">
        <v>5</v>
      </c>
      <c r="C18" s="1" t="s">
        <v>4</v>
      </c>
      <c r="D18" s="1" t="s">
        <v>6</v>
      </c>
      <c r="E18" s="1" t="s">
        <v>13</v>
      </c>
      <c r="F18" s="1" t="s">
        <v>18</v>
      </c>
      <c r="G18" s="1" t="s">
        <v>4</v>
      </c>
      <c r="H18" s="1" t="s">
        <v>6</v>
      </c>
      <c r="I18" s="1" t="s">
        <v>13</v>
      </c>
      <c r="J18" s="1"/>
      <c r="M18" s="1"/>
      <c r="N18" s="1"/>
      <c r="O18" s="1"/>
      <c r="P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N18" t="s">
        <v>20</v>
      </c>
      <c r="AO18" s="1">
        <v>18</v>
      </c>
      <c r="AR18" t="s">
        <v>41</v>
      </c>
      <c r="AS18">
        <v>19</v>
      </c>
    </row>
    <row r="19" spans="1:47" x14ac:dyDescent="0.25">
      <c r="A19" s="1"/>
      <c r="B19" s="1" t="s">
        <v>9</v>
      </c>
      <c r="C19" s="1" t="s">
        <v>4</v>
      </c>
      <c r="D19" s="1" t="s">
        <v>24</v>
      </c>
      <c r="E19" s="1" t="s">
        <v>17</v>
      </c>
      <c r="F19" s="1" t="s">
        <v>23</v>
      </c>
      <c r="G19" s="1" t="s">
        <v>20</v>
      </c>
      <c r="H19" s="1" t="s">
        <v>11</v>
      </c>
      <c r="I19" s="1" t="s">
        <v>22</v>
      </c>
      <c r="J19" s="1" t="s">
        <v>8</v>
      </c>
      <c r="L19" s="1" t="s">
        <v>33</v>
      </c>
      <c r="M19" s="1" t="s">
        <v>48</v>
      </c>
      <c r="N19" s="1" t="s">
        <v>51</v>
      </c>
      <c r="O19" s="1" t="s">
        <v>29</v>
      </c>
      <c r="P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N19" t="s">
        <v>21</v>
      </c>
      <c r="AO19" s="1">
        <v>19</v>
      </c>
      <c r="AR19" t="s">
        <v>127</v>
      </c>
      <c r="AS19">
        <v>102</v>
      </c>
    </row>
    <row r="20" spans="1:47" x14ac:dyDescent="0.25">
      <c r="A20" s="1"/>
      <c r="B20" s="1" t="s">
        <v>9</v>
      </c>
      <c r="C20" s="1" t="s">
        <v>17</v>
      </c>
      <c r="D20" s="1" t="s">
        <v>20</v>
      </c>
      <c r="E20" s="1" t="s">
        <v>10</v>
      </c>
      <c r="F20" s="1" t="s">
        <v>8</v>
      </c>
      <c r="G20" s="1" t="s">
        <v>22</v>
      </c>
      <c r="H20" s="1"/>
      <c r="I20" s="1"/>
      <c r="J20" s="1"/>
      <c r="M20" s="1"/>
      <c r="N20" s="1"/>
      <c r="O20" s="1" t="s">
        <v>38</v>
      </c>
      <c r="P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N20" t="s">
        <v>22</v>
      </c>
      <c r="AO20" s="1">
        <v>20</v>
      </c>
      <c r="AR20" t="s">
        <v>35</v>
      </c>
      <c r="AS20">
        <v>74</v>
      </c>
      <c r="AU20">
        <v>401926.91</v>
      </c>
    </row>
    <row r="21" spans="1:4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31</v>
      </c>
      <c r="P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N21" t="s">
        <v>23</v>
      </c>
      <c r="AO21" s="1">
        <v>21</v>
      </c>
      <c r="AR21" t="s">
        <v>53</v>
      </c>
      <c r="AS21">
        <v>7</v>
      </c>
      <c r="AU21">
        <v>6371</v>
      </c>
    </row>
    <row r="22" spans="1:47" x14ac:dyDescent="0.25">
      <c r="O22" s="1" t="s">
        <v>41</v>
      </c>
      <c r="AN22" t="s">
        <v>24</v>
      </c>
      <c r="AO22" s="1">
        <v>22</v>
      </c>
      <c r="AR22" t="s">
        <v>50</v>
      </c>
      <c r="AS22">
        <v>15</v>
      </c>
      <c r="AU22">
        <v>7.7</v>
      </c>
    </row>
    <row r="23" spans="1:47" x14ac:dyDescent="0.25">
      <c r="B23" t="s">
        <v>20</v>
      </c>
      <c r="C23" t="s">
        <v>8</v>
      </c>
      <c r="D23" t="s">
        <v>7</v>
      </c>
      <c r="L23" t="s">
        <v>39</v>
      </c>
      <c r="M23" t="s">
        <v>51</v>
      </c>
      <c r="N23" t="s">
        <v>40</v>
      </c>
      <c r="O23" s="1" t="s">
        <v>50</v>
      </c>
      <c r="AN23" t="s">
        <v>3</v>
      </c>
      <c r="AO23" s="1">
        <v>23</v>
      </c>
      <c r="AR23" t="s">
        <v>39</v>
      </c>
      <c r="AS23">
        <v>1</v>
      </c>
    </row>
    <row r="24" spans="1:47" x14ac:dyDescent="0.25">
      <c r="B24" t="s">
        <v>2</v>
      </c>
      <c r="C24" t="s">
        <v>8</v>
      </c>
      <c r="D24" t="s">
        <v>20</v>
      </c>
      <c r="E24" t="s">
        <v>20</v>
      </c>
      <c r="F24" t="s">
        <v>11</v>
      </c>
      <c r="G24" t="s">
        <v>16</v>
      </c>
      <c r="H24" t="s">
        <v>10</v>
      </c>
      <c r="O24" s="1" t="s">
        <v>38</v>
      </c>
      <c r="AN24" t="s">
        <v>25</v>
      </c>
      <c r="AO24" s="1">
        <v>24</v>
      </c>
      <c r="AR24" t="s">
        <v>52</v>
      </c>
      <c r="AS24">
        <v>39</v>
      </c>
      <c r="AU24">
        <f>AU20/(AU22*AU22)</f>
        <v>6778.9999999999991</v>
      </c>
    </row>
    <row r="25" spans="1:47" x14ac:dyDescent="0.25">
      <c r="O25" s="1" t="s">
        <v>31</v>
      </c>
      <c r="AN25" t="s">
        <v>26</v>
      </c>
      <c r="AO25" s="1">
        <v>25</v>
      </c>
      <c r="AR25" t="s">
        <v>128</v>
      </c>
      <c r="AS25">
        <v>14</v>
      </c>
      <c r="AU25">
        <f>AU24-AU21</f>
        <v>407.99999999999909</v>
      </c>
    </row>
    <row r="26" spans="1:47" x14ac:dyDescent="0.25">
      <c r="L26" t="s">
        <v>50</v>
      </c>
      <c r="M26" t="s">
        <v>38</v>
      </c>
      <c r="N26" t="s">
        <v>31</v>
      </c>
      <c r="O26" s="1" t="s">
        <v>41</v>
      </c>
      <c r="AN26" t="s">
        <v>27</v>
      </c>
      <c r="AO26" s="1">
        <v>26</v>
      </c>
      <c r="AR26" t="s">
        <v>129</v>
      </c>
      <c r="AS26">
        <v>55</v>
      </c>
    </row>
    <row r="28" spans="1:47" ht="15.75" thickBot="1" x14ac:dyDescent="0.3"/>
    <row r="29" spans="1:47" x14ac:dyDescent="0.25">
      <c r="C29" s="26">
        <v>3</v>
      </c>
      <c r="D29" s="16"/>
      <c r="E29" s="16">
        <v>1</v>
      </c>
      <c r="F29" s="17"/>
      <c r="G29" s="27">
        <v>4</v>
      </c>
      <c r="H29" s="28"/>
      <c r="I29" s="16">
        <v>2</v>
      </c>
      <c r="J29" s="17"/>
    </row>
    <row r="30" spans="1:47" x14ac:dyDescent="0.25">
      <c r="C30" s="22"/>
      <c r="D30" s="18"/>
      <c r="E30" s="18"/>
      <c r="F30" s="19"/>
      <c r="G30" s="29"/>
      <c r="H30" s="30"/>
      <c r="I30" s="18"/>
      <c r="J30" s="19"/>
    </row>
    <row r="31" spans="1:47" x14ac:dyDescent="0.25">
      <c r="C31" s="14">
        <v>4</v>
      </c>
      <c r="D31" s="15"/>
      <c r="E31" s="15">
        <v>2</v>
      </c>
      <c r="F31" s="21"/>
      <c r="G31" s="22">
        <v>3</v>
      </c>
      <c r="H31" s="18"/>
      <c r="I31" s="15">
        <v>1</v>
      </c>
      <c r="J31" s="21"/>
    </row>
    <row r="32" spans="1:47" ht="15.75" thickBot="1" x14ac:dyDescent="0.3">
      <c r="C32" s="31"/>
      <c r="D32" s="32"/>
      <c r="E32" s="32"/>
      <c r="F32" s="33"/>
      <c r="G32" s="23"/>
      <c r="H32" s="24"/>
      <c r="I32" s="32"/>
      <c r="J32" s="33"/>
    </row>
    <row r="33" spans="3:10" x14ac:dyDescent="0.25">
      <c r="C33" s="12">
        <v>1</v>
      </c>
      <c r="D33" s="13"/>
      <c r="E33" s="16">
        <v>3</v>
      </c>
      <c r="F33" s="17"/>
      <c r="G33" s="12">
        <v>2</v>
      </c>
      <c r="H33" s="13"/>
      <c r="I33" s="13">
        <v>4</v>
      </c>
      <c r="J33" s="20"/>
    </row>
    <row r="34" spans="3:10" x14ac:dyDescent="0.25">
      <c r="C34" s="14"/>
      <c r="D34" s="15"/>
      <c r="E34" s="18"/>
      <c r="F34" s="19"/>
      <c r="G34" s="14"/>
      <c r="H34" s="15"/>
      <c r="I34" s="15"/>
      <c r="J34" s="21"/>
    </row>
    <row r="35" spans="3:10" x14ac:dyDescent="0.25">
      <c r="C35" s="22">
        <v>2</v>
      </c>
      <c r="D35" s="18"/>
      <c r="E35" s="18">
        <v>4</v>
      </c>
      <c r="F35" s="19"/>
      <c r="G35" s="22">
        <v>1</v>
      </c>
      <c r="H35" s="18"/>
      <c r="I35" s="18">
        <v>3</v>
      </c>
      <c r="J35" s="19"/>
    </row>
    <row r="36" spans="3:10" ht="15.75" thickBot="1" x14ac:dyDescent="0.3">
      <c r="C36" s="23"/>
      <c r="D36" s="24"/>
      <c r="E36" s="24"/>
      <c r="F36" s="25"/>
      <c r="G36" s="23"/>
      <c r="H36" s="24"/>
      <c r="I36" s="24"/>
      <c r="J36" s="25"/>
    </row>
    <row r="39" spans="3:10" x14ac:dyDescent="0.25">
      <c r="F39" t="s">
        <v>57</v>
      </c>
    </row>
  </sheetData>
  <mergeCells count="16">
    <mergeCell ref="C29:D30"/>
    <mergeCell ref="E29:F30"/>
    <mergeCell ref="G29:H30"/>
    <mergeCell ref="I29:J30"/>
    <mergeCell ref="C31:D32"/>
    <mergeCell ref="E31:F32"/>
    <mergeCell ref="G31:H32"/>
    <mergeCell ref="I31:J32"/>
    <mergeCell ref="C33:D34"/>
    <mergeCell ref="E33:F34"/>
    <mergeCell ref="G33:H34"/>
    <mergeCell ref="I33:J34"/>
    <mergeCell ref="C35:D36"/>
    <mergeCell ref="E35:F36"/>
    <mergeCell ref="G35:H36"/>
    <mergeCell ref="I35:J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4ABF-C663-46F7-972D-D3A53183DCD1}">
  <sheetPr>
    <tabColor theme="8"/>
  </sheetPr>
  <dimension ref="B2:Q29"/>
  <sheetViews>
    <sheetView showGridLines="0" workbookViewId="0">
      <selection activeCell="A2" sqref="A2:R30"/>
    </sheetView>
  </sheetViews>
  <sheetFormatPr defaultRowHeight="15" x14ac:dyDescent="0.25"/>
  <cols>
    <col min="1" max="1" width="3.85546875" customWidth="1"/>
    <col min="2" max="17" width="3.28515625" customWidth="1"/>
    <col min="18" max="18" width="3.85546875" customWidth="1"/>
  </cols>
  <sheetData>
    <row r="2" spans="2:17" x14ac:dyDescent="0.25">
      <c r="D2" s="34" t="s">
        <v>54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2:17" x14ac:dyDescent="0.25"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2:17" x14ac:dyDescent="0.25">
      <c r="B4" s="4" t="s">
        <v>28</v>
      </c>
      <c r="C4" s="4" t="s">
        <v>29</v>
      </c>
      <c r="D4" s="4" t="s">
        <v>30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4" t="s">
        <v>41</v>
      </c>
      <c r="Q4" s="4" t="s">
        <v>41</v>
      </c>
    </row>
    <row r="5" spans="2:17" x14ac:dyDescent="0.25">
      <c r="B5" s="4" t="s">
        <v>35</v>
      </c>
      <c r="C5" s="4" t="s">
        <v>51</v>
      </c>
      <c r="D5" s="4" t="s">
        <v>33</v>
      </c>
      <c r="E5" s="4" t="s">
        <v>35</v>
      </c>
      <c r="F5" s="4" t="s">
        <v>33</v>
      </c>
      <c r="G5" s="4" t="s">
        <v>51</v>
      </c>
      <c r="H5" s="4" t="s">
        <v>43</v>
      </c>
      <c r="I5" s="4" t="s">
        <v>30</v>
      </c>
      <c r="J5" s="4" t="s">
        <v>37</v>
      </c>
      <c r="K5" s="4" t="s">
        <v>46</v>
      </c>
      <c r="L5" s="4" t="s">
        <v>32</v>
      </c>
      <c r="M5" s="4" t="s">
        <v>32</v>
      </c>
      <c r="N5" s="4" t="s">
        <v>32</v>
      </c>
      <c r="O5" s="4" t="s">
        <v>38</v>
      </c>
      <c r="P5" s="4" t="s">
        <v>36</v>
      </c>
      <c r="Q5" s="4" t="s">
        <v>36</v>
      </c>
    </row>
    <row r="6" spans="2:17" x14ac:dyDescent="0.25">
      <c r="B6" s="4" t="s">
        <v>43</v>
      </c>
      <c r="C6" s="4" t="s">
        <v>34</v>
      </c>
      <c r="D6" s="4" t="s">
        <v>36</v>
      </c>
      <c r="E6" s="4" t="s">
        <v>46</v>
      </c>
      <c r="F6" s="4" t="s">
        <v>38</v>
      </c>
      <c r="G6" s="4" t="s">
        <v>44</v>
      </c>
      <c r="H6" s="4" t="s">
        <v>33</v>
      </c>
      <c r="I6" s="4" t="s">
        <v>35</v>
      </c>
      <c r="J6" s="4" t="s">
        <v>38</v>
      </c>
      <c r="K6" s="4" t="s">
        <v>48</v>
      </c>
      <c r="L6" s="4" t="s">
        <v>30</v>
      </c>
      <c r="M6" s="4" t="s">
        <v>38</v>
      </c>
      <c r="N6" s="4" t="s">
        <v>40</v>
      </c>
      <c r="O6" s="4" t="s">
        <v>30</v>
      </c>
      <c r="P6" s="4" t="s">
        <v>34</v>
      </c>
      <c r="Q6" s="4" t="s">
        <v>34</v>
      </c>
    </row>
    <row r="7" spans="2:17" x14ac:dyDescent="0.25">
      <c r="B7" s="4" t="s">
        <v>36</v>
      </c>
      <c r="C7" s="4" t="s">
        <v>41</v>
      </c>
      <c r="D7" s="4" t="s">
        <v>39</v>
      </c>
      <c r="E7" s="4" t="s">
        <v>40</v>
      </c>
      <c r="F7" s="4" t="s">
        <v>48</v>
      </c>
      <c r="G7" s="4" t="s">
        <v>33</v>
      </c>
      <c r="H7" s="4" t="s">
        <v>29</v>
      </c>
      <c r="I7" s="4" t="s">
        <v>32</v>
      </c>
      <c r="J7" s="4" t="s">
        <v>44</v>
      </c>
      <c r="K7" s="4" t="s">
        <v>50</v>
      </c>
      <c r="L7" s="4" t="s">
        <v>28</v>
      </c>
      <c r="M7" s="4" t="s">
        <v>35</v>
      </c>
      <c r="N7" s="4" t="s">
        <v>41</v>
      </c>
      <c r="O7" s="4" t="s">
        <v>34</v>
      </c>
      <c r="P7" s="4" t="s">
        <v>46</v>
      </c>
      <c r="Q7" s="4" t="s">
        <v>46</v>
      </c>
    </row>
    <row r="8" spans="2:17" x14ac:dyDescent="0.25">
      <c r="B8" s="4" t="s">
        <v>41</v>
      </c>
      <c r="C8" s="4" t="s">
        <v>30</v>
      </c>
      <c r="D8" s="4" t="s">
        <v>51</v>
      </c>
      <c r="E8" s="4" t="s">
        <v>36</v>
      </c>
      <c r="F8" s="4" t="s">
        <v>44</v>
      </c>
      <c r="G8" s="4" t="s">
        <v>35</v>
      </c>
      <c r="H8" s="4" t="s">
        <v>44</v>
      </c>
      <c r="I8" s="4" t="s">
        <v>33</v>
      </c>
      <c r="J8" s="4" t="s">
        <v>40</v>
      </c>
      <c r="K8" s="4" t="s">
        <v>51</v>
      </c>
      <c r="L8" s="4" t="s">
        <v>40</v>
      </c>
      <c r="M8" s="4" t="s">
        <v>37</v>
      </c>
      <c r="N8" s="4" t="s">
        <v>31</v>
      </c>
      <c r="O8" s="4" t="s">
        <v>41</v>
      </c>
      <c r="P8" s="4" t="s">
        <v>50</v>
      </c>
      <c r="Q8" s="4" t="s">
        <v>50</v>
      </c>
    </row>
    <row r="9" spans="2:17" x14ac:dyDescent="0.25">
      <c r="B9" s="4" t="s">
        <v>52</v>
      </c>
      <c r="C9" s="4" t="s">
        <v>39</v>
      </c>
      <c r="D9" s="4" t="s">
        <v>30</v>
      </c>
      <c r="E9" s="4" t="s">
        <v>48</v>
      </c>
      <c r="F9" s="4" t="s">
        <v>31</v>
      </c>
      <c r="G9" s="4" t="s">
        <v>40</v>
      </c>
      <c r="H9" s="4" t="s">
        <v>29</v>
      </c>
      <c r="I9" s="4" t="s">
        <v>32</v>
      </c>
      <c r="J9" s="4" t="s">
        <v>42</v>
      </c>
      <c r="K9" s="4" t="s">
        <v>35</v>
      </c>
      <c r="L9" s="4" t="s">
        <v>42</v>
      </c>
      <c r="M9" s="4" t="s">
        <v>32</v>
      </c>
      <c r="N9" s="4" t="s">
        <v>36</v>
      </c>
      <c r="O9" s="4" t="s">
        <v>31</v>
      </c>
      <c r="P9" s="4" t="s">
        <v>51</v>
      </c>
      <c r="Q9" s="4" t="s">
        <v>51</v>
      </c>
    </row>
    <row r="10" spans="2:17" x14ac:dyDescent="0.25">
      <c r="B10" s="4" t="s">
        <v>49</v>
      </c>
      <c r="C10" s="4" t="s">
        <v>37</v>
      </c>
      <c r="D10" s="4" t="s">
        <v>30</v>
      </c>
      <c r="E10" s="4" t="s">
        <v>38</v>
      </c>
      <c r="F10" s="4" t="s">
        <v>52</v>
      </c>
      <c r="G10" s="4" t="s">
        <v>39</v>
      </c>
      <c r="H10" s="4" t="s">
        <v>35</v>
      </c>
      <c r="I10" s="4" t="s">
        <v>36</v>
      </c>
      <c r="J10" s="4" t="s">
        <v>48</v>
      </c>
      <c r="K10" s="4" t="s">
        <v>39</v>
      </c>
      <c r="L10" s="4" t="s">
        <v>28</v>
      </c>
      <c r="M10" s="4" t="s">
        <v>38</v>
      </c>
      <c r="N10" s="4" t="s">
        <v>43</v>
      </c>
      <c r="O10" s="4" t="s">
        <v>38</v>
      </c>
      <c r="P10" s="4" t="s">
        <v>36</v>
      </c>
      <c r="Q10" s="4" t="s">
        <v>36</v>
      </c>
    </row>
    <row r="11" spans="2:17" x14ac:dyDescent="0.25">
      <c r="B11" s="4" t="s">
        <v>32</v>
      </c>
      <c r="C11" s="4" t="s">
        <v>50</v>
      </c>
      <c r="D11" s="4" t="s">
        <v>44</v>
      </c>
      <c r="E11" s="4" t="s">
        <v>39</v>
      </c>
      <c r="F11" s="4" t="s">
        <v>51</v>
      </c>
      <c r="G11" s="4" t="s">
        <v>39</v>
      </c>
      <c r="H11" s="4" t="s">
        <v>41</v>
      </c>
      <c r="I11" s="4" t="s">
        <v>52</v>
      </c>
      <c r="J11" s="4" t="s">
        <v>40</v>
      </c>
      <c r="K11" s="4" t="s">
        <v>40</v>
      </c>
      <c r="L11" s="4" t="s">
        <v>39</v>
      </c>
      <c r="M11" s="4" t="s">
        <v>51</v>
      </c>
      <c r="N11" s="4" t="s">
        <v>40</v>
      </c>
      <c r="O11" s="4" t="s">
        <v>50</v>
      </c>
      <c r="P11" s="4" t="s">
        <v>32</v>
      </c>
      <c r="Q11" s="4" t="s">
        <v>32</v>
      </c>
    </row>
    <row r="12" spans="2:17" x14ac:dyDescent="0.25">
      <c r="B12" s="4" t="s">
        <v>38</v>
      </c>
      <c r="C12" s="4" t="s">
        <v>33</v>
      </c>
      <c r="D12" s="4" t="s">
        <v>53</v>
      </c>
      <c r="E12" s="4" t="s">
        <v>39</v>
      </c>
      <c r="F12" s="4" t="s">
        <v>30</v>
      </c>
      <c r="G12" s="4" t="s">
        <v>44</v>
      </c>
      <c r="H12" s="4" t="s">
        <v>48</v>
      </c>
      <c r="I12" s="4" t="s">
        <v>38</v>
      </c>
      <c r="J12" s="4" t="s">
        <v>45</v>
      </c>
      <c r="K12" s="4" t="s">
        <v>47</v>
      </c>
      <c r="L12" s="4" t="s">
        <v>46</v>
      </c>
      <c r="M12" s="4" t="s">
        <v>53</v>
      </c>
      <c r="N12" s="4" t="s">
        <v>43</v>
      </c>
      <c r="O12" s="4" t="s">
        <v>41</v>
      </c>
      <c r="P12" s="4" t="s">
        <v>47</v>
      </c>
      <c r="Q12" s="4" t="s">
        <v>47</v>
      </c>
    </row>
    <row r="13" spans="2:17" x14ac:dyDescent="0.25">
      <c r="B13" s="4" t="s">
        <v>39</v>
      </c>
      <c r="C13" s="4" t="s">
        <v>51</v>
      </c>
      <c r="D13" s="4" t="s">
        <v>43</v>
      </c>
      <c r="E13" s="4" t="s">
        <v>28</v>
      </c>
      <c r="F13" s="4" t="s">
        <v>42</v>
      </c>
      <c r="G13" s="4" t="s">
        <v>46</v>
      </c>
      <c r="H13" s="4" t="s">
        <v>43</v>
      </c>
      <c r="I13" s="4" t="s">
        <v>42</v>
      </c>
      <c r="J13" s="4" t="s">
        <v>44</v>
      </c>
      <c r="K13" s="4" t="s">
        <v>44</v>
      </c>
      <c r="L13" s="4" t="s">
        <v>49</v>
      </c>
      <c r="M13" s="4" t="s">
        <v>31</v>
      </c>
      <c r="N13" s="4" t="s">
        <v>40</v>
      </c>
      <c r="O13" s="4" t="s">
        <v>31</v>
      </c>
      <c r="P13" s="4" t="s">
        <v>40</v>
      </c>
      <c r="Q13" s="4" t="s">
        <v>40</v>
      </c>
    </row>
    <row r="14" spans="2:17" x14ac:dyDescent="0.25">
      <c r="B14" s="4" t="s">
        <v>32</v>
      </c>
      <c r="C14" s="4" t="s">
        <v>38</v>
      </c>
      <c r="D14" s="4" t="s">
        <v>33</v>
      </c>
      <c r="E14" s="4" t="s">
        <v>36</v>
      </c>
      <c r="F14" s="4" t="s">
        <v>47</v>
      </c>
      <c r="G14" s="4" t="s">
        <v>29</v>
      </c>
      <c r="H14" s="4" t="s">
        <v>34</v>
      </c>
      <c r="I14" s="4" t="s">
        <v>28</v>
      </c>
      <c r="J14" s="4" t="s">
        <v>43</v>
      </c>
      <c r="K14" s="4" t="s">
        <v>32</v>
      </c>
      <c r="L14" s="4" t="s">
        <v>36</v>
      </c>
      <c r="M14" s="4" t="s">
        <v>44</v>
      </c>
      <c r="N14" s="4" t="s">
        <v>41</v>
      </c>
      <c r="O14" s="4" t="s">
        <v>38</v>
      </c>
      <c r="P14" s="4" t="s">
        <v>42</v>
      </c>
      <c r="Q14" s="4" t="s">
        <v>42</v>
      </c>
    </row>
    <row r="15" spans="2:17" x14ac:dyDescent="0.25">
      <c r="B15" s="4" t="s">
        <v>51</v>
      </c>
      <c r="C15" s="4" t="s">
        <v>52</v>
      </c>
      <c r="D15" s="4" t="s">
        <v>31</v>
      </c>
      <c r="E15" s="4" t="s">
        <v>41</v>
      </c>
      <c r="F15" s="4" t="s">
        <v>39</v>
      </c>
      <c r="G15" s="4" t="s">
        <v>33</v>
      </c>
      <c r="H15" s="4" t="s">
        <v>48</v>
      </c>
      <c r="I15" s="4" t="s">
        <v>43</v>
      </c>
      <c r="J15" s="4" t="s">
        <v>42</v>
      </c>
      <c r="K15" s="4" t="s">
        <v>33</v>
      </c>
      <c r="L15" s="4" t="s">
        <v>33</v>
      </c>
      <c r="M15" s="4" t="s">
        <v>48</v>
      </c>
      <c r="N15" s="4" t="s">
        <v>51</v>
      </c>
      <c r="O15" s="4" t="s">
        <v>29</v>
      </c>
      <c r="P15" s="4" t="s">
        <v>35</v>
      </c>
      <c r="Q15" s="4" t="s">
        <v>35</v>
      </c>
    </row>
    <row r="16" spans="2:17" x14ac:dyDescent="0.25">
      <c r="B16" s="4" t="s">
        <v>51</v>
      </c>
      <c r="C16" s="4" t="s">
        <v>53</v>
      </c>
      <c r="D16" s="4" t="s">
        <v>38</v>
      </c>
      <c r="E16" s="4" t="s">
        <v>48</v>
      </c>
      <c r="F16" s="4" t="s">
        <v>53</v>
      </c>
      <c r="G16" s="4" t="s">
        <v>51</v>
      </c>
      <c r="H16" s="4" t="s">
        <v>51</v>
      </c>
      <c r="I16" s="4" t="s">
        <v>48</v>
      </c>
      <c r="J16" s="4" t="s">
        <v>30</v>
      </c>
      <c r="K16" s="4" t="s">
        <v>42</v>
      </c>
      <c r="L16" s="4" t="s">
        <v>39</v>
      </c>
      <c r="M16" s="4" t="s">
        <v>51</v>
      </c>
      <c r="N16" s="4" t="s">
        <v>48</v>
      </c>
      <c r="O16" s="4" t="s">
        <v>49</v>
      </c>
      <c r="P16" s="4" t="s">
        <v>31</v>
      </c>
      <c r="Q16" s="4" t="s">
        <v>31</v>
      </c>
    </row>
    <row r="17" spans="2:17" x14ac:dyDescent="0.25">
      <c r="B17" s="4" t="s">
        <v>39</v>
      </c>
      <c r="C17" s="4" t="s">
        <v>37</v>
      </c>
      <c r="D17" s="4" t="s">
        <v>35</v>
      </c>
      <c r="E17" s="4" t="s">
        <v>45</v>
      </c>
      <c r="F17" s="4" t="s">
        <v>35</v>
      </c>
      <c r="G17" s="4" t="s">
        <v>33</v>
      </c>
      <c r="H17" s="4" t="s">
        <v>47</v>
      </c>
      <c r="I17" s="4" t="s">
        <v>45</v>
      </c>
      <c r="J17" s="4" t="s">
        <v>32</v>
      </c>
      <c r="K17" s="4" t="s">
        <v>42</v>
      </c>
      <c r="L17" s="4" t="s">
        <v>42</v>
      </c>
      <c r="M17" s="4" t="s">
        <v>30</v>
      </c>
      <c r="N17" s="4" t="s">
        <v>47</v>
      </c>
      <c r="O17" s="4" t="s">
        <v>41</v>
      </c>
      <c r="P17" s="4" t="s">
        <v>44</v>
      </c>
      <c r="Q17" s="4" t="s">
        <v>44</v>
      </c>
    </row>
    <row r="18" spans="2:17" x14ac:dyDescent="0.25">
      <c r="B18" s="4" t="s">
        <v>36</v>
      </c>
      <c r="C18" s="4" t="s">
        <v>53</v>
      </c>
      <c r="D18" s="4" t="s">
        <v>46</v>
      </c>
      <c r="E18" s="4" t="s">
        <v>34</v>
      </c>
      <c r="F18" s="4" t="s">
        <v>38</v>
      </c>
      <c r="G18" s="4" t="s">
        <v>52</v>
      </c>
      <c r="H18" s="4" t="s">
        <v>34</v>
      </c>
      <c r="I18" s="4" t="s">
        <v>53</v>
      </c>
      <c r="J18" s="4" t="s">
        <v>46</v>
      </c>
      <c r="K18" s="4" t="s">
        <v>51</v>
      </c>
      <c r="L18" s="4" t="s">
        <v>49</v>
      </c>
      <c r="M18" s="4" t="s">
        <v>37</v>
      </c>
      <c r="N18" s="4" t="s">
        <v>36</v>
      </c>
      <c r="O18" s="4" t="s">
        <v>43</v>
      </c>
      <c r="P18" s="4" t="s">
        <v>46</v>
      </c>
      <c r="Q18" s="4" t="s">
        <v>46</v>
      </c>
    </row>
    <row r="19" spans="2:17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x14ac:dyDescent="0.25">
      <c r="B20" s="1"/>
      <c r="C20" s="1"/>
      <c r="D20" s="34" t="s">
        <v>55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1"/>
    </row>
    <row r="21" spans="2:17" ht="15.75" thickBot="1" x14ac:dyDescent="0.3">
      <c r="B21" s="1"/>
      <c r="C21" s="1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1"/>
    </row>
    <row r="22" spans="2:17" x14ac:dyDescent="0.25">
      <c r="B22" s="26"/>
      <c r="C22" s="16"/>
      <c r="D22" s="16"/>
      <c r="E22" s="17"/>
      <c r="F22" s="27"/>
      <c r="G22" s="28"/>
      <c r="H22" s="16"/>
      <c r="I22" s="17"/>
    </row>
    <row r="23" spans="2:17" ht="15" customHeight="1" x14ac:dyDescent="0.25">
      <c r="B23" s="22"/>
      <c r="C23" s="18"/>
      <c r="D23" s="18"/>
      <c r="E23" s="19"/>
      <c r="F23" s="29"/>
      <c r="G23" s="30"/>
      <c r="H23" s="18"/>
      <c r="I23" s="19"/>
      <c r="K23" s="35" t="s">
        <v>56</v>
      </c>
      <c r="L23" s="35"/>
      <c r="M23" s="35"/>
      <c r="N23" s="35"/>
      <c r="O23" s="35"/>
      <c r="P23" s="35"/>
      <c r="Q23" s="35"/>
    </row>
    <row r="24" spans="2:17" x14ac:dyDescent="0.25">
      <c r="B24" s="22">
        <v>4</v>
      </c>
      <c r="C24" s="18"/>
      <c r="D24" s="18">
        <v>2</v>
      </c>
      <c r="E24" s="19"/>
      <c r="F24" s="22"/>
      <c r="G24" s="18"/>
      <c r="H24" s="18">
        <v>1</v>
      </c>
      <c r="I24" s="19"/>
      <c r="K24" s="35"/>
      <c r="L24" s="35"/>
      <c r="M24" s="35"/>
      <c r="N24" s="35"/>
      <c r="O24" s="35"/>
      <c r="P24" s="35"/>
      <c r="Q24" s="35"/>
    </row>
    <row r="25" spans="2:17" ht="15.75" thickBot="1" x14ac:dyDescent="0.3">
      <c r="B25" s="23"/>
      <c r="C25" s="24"/>
      <c r="D25" s="24"/>
      <c r="E25" s="25"/>
      <c r="F25" s="23"/>
      <c r="G25" s="24"/>
      <c r="H25" s="24"/>
      <c r="I25" s="25"/>
      <c r="K25" s="35"/>
      <c r="L25" s="35"/>
      <c r="M25" s="35"/>
      <c r="N25" s="35"/>
      <c r="O25" s="35"/>
      <c r="P25" s="35"/>
      <c r="Q25" s="35"/>
    </row>
    <row r="26" spans="2:17" x14ac:dyDescent="0.25">
      <c r="B26" s="26">
        <v>1</v>
      </c>
      <c r="C26" s="16"/>
      <c r="D26" s="16"/>
      <c r="E26" s="17"/>
      <c r="F26" s="26">
        <v>2</v>
      </c>
      <c r="G26" s="16"/>
      <c r="H26" s="16">
        <v>4</v>
      </c>
      <c r="I26" s="17"/>
      <c r="K26" s="35"/>
      <c r="L26" s="35"/>
      <c r="M26" s="35"/>
      <c r="N26" s="35"/>
      <c r="O26" s="35"/>
      <c r="P26" s="35"/>
      <c r="Q26" s="35"/>
    </row>
    <row r="27" spans="2:17" x14ac:dyDescent="0.25">
      <c r="B27" s="22"/>
      <c r="C27" s="18"/>
      <c r="D27" s="18"/>
      <c r="E27" s="19"/>
      <c r="F27" s="22"/>
      <c r="G27" s="18"/>
      <c r="H27" s="18"/>
      <c r="I27" s="19"/>
      <c r="K27" s="35"/>
      <c r="L27" s="35"/>
      <c r="M27" s="35"/>
      <c r="N27" s="35"/>
      <c r="O27" s="35"/>
      <c r="P27" s="35"/>
      <c r="Q27" s="35"/>
    </row>
    <row r="28" spans="2:17" x14ac:dyDescent="0.25">
      <c r="B28" s="22"/>
      <c r="C28" s="18"/>
      <c r="D28" s="18"/>
      <c r="E28" s="19"/>
      <c r="F28" s="22"/>
      <c r="G28" s="18"/>
      <c r="H28" s="18"/>
      <c r="I28" s="19"/>
      <c r="K28" s="35"/>
      <c r="L28" s="35"/>
      <c r="M28" s="35"/>
      <c r="N28" s="35"/>
      <c r="O28" s="35"/>
      <c r="P28" s="35"/>
      <c r="Q28" s="35"/>
    </row>
    <row r="29" spans="2:17" ht="15.75" thickBot="1" x14ac:dyDescent="0.3">
      <c r="B29" s="23"/>
      <c r="C29" s="24"/>
      <c r="D29" s="24"/>
      <c r="E29" s="25"/>
      <c r="F29" s="23"/>
      <c r="G29" s="24"/>
      <c r="H29" s="24"/>
      <c r="I29" s="25"/>
    </row>
  </sheetData>
  <mergeCells count="19">
    <mergeCell ref="D2:P3"/>
    <mergeCell ref="H22:I23"/>
    <mergeCell ref="F22:G23"/>
    <mergeCell ref="F24:G25"/>
    <mergeCell ref="H24:I25"/>
    <mergeCell ref="D22:E23"/>
    <mergeCell ref="D24:E25"/>
    <mergeCell ref="D20:P21"/>
    <mergeCell ref="K23:Q28"/>
    <mergeCell ref="F26:G27"/>
    <mergeCell ref="H26:I27"/>
    <mergeCell ref="D26:E27"/>
    <mergeCell ref="F28:G29"/>
    <mergeCell ref="H28:I29"/>
    <mergeCell ref="B28:C29"/>
    <mergeCell ref="D28:E29"/>
    <mergeCell ref="B22:C23"/>
    <mergeCell ref="B24:C25"/>
    <mergeCell ref="B26:C27"/>
  </mergeCells>
  <pageMargins left="0.70866141732283472" right="0.70866141732283472" top="0.74803149606299213" bottom="0.74803149606299213" header="0.31496062992125984" footer="0.31496062992125984"/>
  <pageSetup scale="15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F56D-3771-45EA-B0C5-14F1F62B7279}">
  <sheetPr>
    <tabColor theme="8"/>
  </sheetPr>
  <dimension ref="B2:Q31"/>
  <sheetViews>
    <sheetView showGridLines="0" workbookViewId="0">
      <selection activeCell="U14" sqref="U14"/>
    </sheetView>
  </sheetViews>
  <sheetFormatPr defaultRowHeight="15" x14ac:dyDescent="0.25"/>
  <cols>
    <col min="1" max="1" width="3.85546875" customWidth="1"/>
    <col min="2" max="17" width="3.28515625" customWidth="1"/>
  </cols>
  <sheetData>
    <row r="2" spans="2:17" x14ac:dyDescent="0.25">
      <c r="D2" s="34" t="s">
        <v>54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2:17" x14ac:dyDescent="0.25"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2:17" x14ac:dyDescent="0.25">
      <c r="B4" s="4" t="s">
        <v>28</v>
      </c>
      <c r="C4" s="4" t="s">
        <v>29</v>
      </c>
      <c r="D4" s="4" t="s">
        <v>30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4" t="s">
        <v>41</v>
      </c>
      <c r="Q4" s="4" t="s">
        <v>41</v>
      </c>
    </row>
    <row r="5" spans="2:17" x14ac:dyDescent="0.25">
      <c r="B5" s="4" t="s">
        <v>35</v>
      </c>
      <c r="C5" s="4" t="s">
        <v>51</v>
      </c>
      <c r="D5" s="4" t="s">
        <v>33</v>
      </c>
      <c r="E5" s="4" t="s">
        <v>35</v>
      </c>
      <c r="F5" s="4" t="s">
        <v>33</v>
      </c>
      <c r="G5" s="4" t="s">
        <v>51</v>
      </c>
      <c r="H5" s="4" t="s">
        <v>43</v>
      </c>
      <c r="I5" s="4" t="s">
        <v>30</v>
      </c>
      <c r="J5" s="4" t="s">
        <v>37</v>
      </c>
      <c r="K5" s="4" t="s">
        <v>46</v>
      </c>
      <c r="L5" s="4" t="s">
        <v>32</v>
      </c>
      <c r="M5" s="4" t="s">
        <v>32</v>
      </c>
      <c r="N5" s="4" t="s">
        <v>32</v>
      </c>
      <c r="O5" s="4" t="s">
        <v>38</v>
      </c>
      <c r="P5" s="4" t="s">
        <v>36</v>
      </c>
      <c r="Q5" s="4" t="s">
        <v>36</v>
      </c>
    </row>
    <row r="6" spans="2:17" x14ac:dyDescent="0.25">
      <c r="B6" s="4" t="s">
        <v>43</v>
      </c>
      <c r="C6" s="4" t="s">
        <v>34</v>
      </c>
      <c r="D6" s="4" t="s">
        <v>36</v>
      </c>
      <c r="E6" s="4" t="s">
        <v>46</v>
      </c>
      <c r="F6" s="4" t="s">
        <v>38</v>
      </c>
      <c r="G6" s="4" t="s">
        <v>44</v>
      </c>
      <c r="H6" s="4" t="s">
        <v>33</v>
      </c>
      <c r="I6" s="4" t="s">
        <v>35</v>
      </c>
      <c r="J6" s="4" t="s">
        <v>38</v>
      </c>
      <c r="K6" s="4" t="s">
        <v>48</v>
      </c>
      <c r="L6" s="4" t="s">
        <v>30</v>
      </c>
      <c r="M6" s="4" t="s">
        <v>38</v>
      </c>
      <c r="N6" s="4" t="s">
        <v>40</v>
      </c>
      <c r="O6" s="4" t="s">
        <v>30</v>
      </c>
      <c r="P6" s="4" t="s">
        <v>34</v>
      </c>
      <c r="Q6" s="4" t="s">
        <v>34</v>
      </c>
    </row>
    <row r="7" spans="2:17" x14ac:dyDescent="0.25">
      <c r="B7" s="4" t="s">
        <v>36</v>
      </c>
      <c r="C7" s="4" t="s">
        <v>41</v>
      </c>
      <c r="D7" s="4" t="s">
        <v>39</v>
      </c>
      <c r="E7" s="4" t="s">
        <v>40</v>
      </c>
      <c r="F7" s="4" t="s">
        <v>48</v>
      </c>
      <c r="G7" s="4" t="s">
        <v>33</v>
      </c>
      <c r="H7" s="4" t="s">
        <v>29</v>
      </c>
      <c r="I7" s="4" t="s">
        <v>32</v>
      </c>
      <c r="J7" s="4" t="s">
        <v>44</v>
      </c>
      <c r="K7" s="4" t="s">
        <v>50</v>
      </c>
      <c r="L7" s="4" t="s">
        <v>28</v>
      </c>
      <c r="M7" s="4" t="s">
        <v>35</v>
      </c>
      <c r="N7" s="4" t="s">
        <v>41</v>
      </c>
      <c r="O7" s="4" t="s">
        <v>34</v>
      </c>
      <c r="P7" s="4" t="s">
        <v>46</v>
      </c>
      <c r="Q7" s="4" t="s">
        <v>46</v>
      </c>
    </row>
    <row r="8" spans="2:17" x14ac:dyDescent="0.25">
      <c r="B8" s="4" t="s">
        <v>41</v>
      </c>
      <c r="C8" s="4" t="s">
        <v>30</v>
      </c>
      <c r="D8" s="4" t="s">
        <v>51</v>
      </c>
      <c r="E8" s="4" t="s">
        <v>36</v>
      </c>
      <c r="F8" s="4" t="s">
        <v>44</v>
      </c>
      <c r="G8" s="4" t="s">
        <v>35</v>
      </c>
      <c r="H8" s="4" t="s">
        <v>44</v>
      </c>
      <c r="I8" s="4" t="s">
        <v>33</v>
      </c>
      <c r="J8" s="4" t="s">
        <v>40</v>
      </c>
      <c r="K8" s="4" t="s">
        <v>51</v>
      </c>
      <c r="L8" s="4" t="s">
        <v>40</v>
      </c>
      <c r="M8" s="4" t="s">
        <v>37</v>
      </c>
      <c r="N8" s="4" t="s">
        <v>31</v>
      </c>
      <c r="O8" s="4" t="s">
        <v>41</v>
      </c>
      <c r="P8" s="4" t="s">
        <v>50</v>
      </c>
      <c r="Q8" s="4" t="s">
        <v>50</v>
      </c>
    </row>
    <row r="9" spans="2:17" x14ac:dyDescent="0.25">
      <c r="B9" s="4" t="s">
        <v>52</v>
      </c>
      <c r="C9" s="4" t="s">
        <v>39</v>
      </c>
      <c r="D9" s="4" t="s">
        <v>30</v>
      </c>
      <c r="E9" s="4" t="s">
        <v>48</v>
      </c>
      <c r="F9" s="4" t="s">
        <v>31</v>
      </c>
      <c r="G9" s="4" t="s">
        <v>40</v>
      </c>
      <c r="H9" s="4" t="s">
        <v>29</v>
      </c>
      <c r="I9" s="4" t="s">
        <v>32</v>
      </c>
      <c r="J9" s="4" t="s">
        <v>42</v>
      </c>
      <c r="K9" s="4" t="s">
        <v>35</v>
      </c>
      <c r="L9" s="4" t="s">
        <v>42</v>
      </c>
      <c r="M9" s="4" t="s">
        <v>32</v>
      </c>
      <c r="N9" s="4" t="s">
        <v>36</v>
      </c>
      <c r="O9" s="4" t="s">
        <v>31</v>
      </c>
      <c r="P9" s="4" t="s">
        <v>51</v>
      </c>
      <c r="Q9" s="4" t="s">
        <v>51</v>
      </c>
    </row>
    <row r="10" spans="2:17" x14ac:dyDescent="0.25">
      <c r="B10" s="4" t="s">
        <v>49</v>
      </c>
      <c r="C10" s="4" t="s">
        <v>37</v>
      </c>
      <c r="D10" s="4" t="s">
        <v>30</v>
      </c>
      <c r="E10" s="4" t="s">
        <v>38</v>
      </c>
      <c r="F10" s="4" t="s">
        <v>52</v>
      </c>
      <c r="G10" s="4" t="s">
        <v>39</v>
      </c>
      <c r="H10" s="4" t="s">
        <v>35</v>
      </c>
      <c r="I10" s="4" t="s">
        <v>36</v>
      </c>
      <c r="J10" s="4" t="s">
        <v>48</v>
      </c>
      <c r="K10" s="4" t="s">
        <v>39</v>
      </c>
      <c r="L10" s="4" t="s">
        <v>28</v>
      </c>
      <c r="M10" s="4" t="s">
        <v>38</v>
      </c>
      <c r="N10" s="4" t="s">
        <v>43</v>
      </c>
      <c r="O10" s="4" t="s">
        <v>38</v>
      </c>
      <c r="P10" s="4" t="s">
        <v>36</v>
      </c>
      <c r="Q10" s="4" t="s">
        <v>36</v>
      </c>
    </row>
    <row r="11" spans="2:17" x14ac:dyDescent="0.25">
      <c r="B11" s="4" t="s">
        <v>32</v>
      </c>
      <c r="C11" s="4" t="s">
        <v>50</v>
      </c>
      <c r="D11" s="4" t="s">
        <v>44</v>
      </c>
      <c r="E11" s="4" t="s">
        <v>39</v>
      </c>
      <c r="F11" s="4" t="s">
        <v>51</v>
      </c>
      <c r="G11" s="4" t="s">
        <v>39</v>
      </c>
      <c r="H11" s="4" t="s">
        <v>41</v>
      </c>
      <c r="I11" s="4" t="s">
        <v>52</v>
      </c>
      <c r="J11" s="4" t="s">
        <v>40</v>
      </c>
      <c r="K11" s="4" t="s">
        <v>40</v>
      </c>
      <c r="L11" s="4" t="s">
        <v>39</v>
      </c>
      <c r="M11" s="4" t="s">
        <v>51</v>
      </c>
      <c r="N11" s="4" t="s">
        <v>40</v>
      </c>
      <c r="O11" s="4" t="s">
        <v>50</v>
      </c>
      <c r="P11" s="4" t="s">
        <v>32</v>
      </c>
      <c r="Q11" s="4" t="s">
        <v>32</v>
      </c>
    </row>
    <row r="12" spans="2:17" x14ac:dyDescent="0.25">
      <c r="B12" s="4" t="s">
        <v>38</v>
      </c>
      <c r="C12" s="4" t="s">
        <v>33</v>
      </c>
      <c r="D12" s="4" t="s">
        <v>53</v>
      </c>
      <c r="E12" s="4" t="s">
        <v>39</v>
      </c>
      <c r="F12" s="4" t="s">
        <v>30</v>
      </c>
      <c r="G12" s="4" t="s">
        <v>44</v>
      </c>
      <c r="H12" s="4" t="s">
        <v>48</v>
      </c>
      <c r="I12" s="4" t="s">
        <v>38</v>
      </c>
      <c r="J12" s="4" t="s">
        <v>45</v>
      </c>
      <c r="K12" s="4" t="s">
        <v>47</v>
      </c>
      <c r="L12" s="4" t="s">
        <v>46</v>
      </c>
      <c r="M12" s="4" t="s">
        <v>53</v>
      </c>
      <c r="N12" s="4" t="s">
        <v>43</v>
      </c>
      <c r="O12" s="4" t="s">
        <v>41</v>
      </c>
      <c r="P12" s="4" t="s">
        <v>47</v>
      </c>
      <c r="Q12" s="4" t="s">
        <v>47</v>
      </c>
    </row>
    <row r="13" spans="2:17" x14ac:dyDescent="0.25">
      <c r="B13" s="4" t="s">
        <v>39</v>
      </c>
      <c r="C13" s="4" t="s">
        <v>51</v>
      </c>
      <c r="D13" s="4" t="s">
        <v>43</v>
      </c>
      <c r="E13" s="4" t="s">
        <v>28</v>
      </c>
      <c r="F13" s="4" t="s">
        <v>42</v>
      </c>
      <c r="G13" s="4" t="s">
        <v>46</v>
      </c>
      <c r="H13" s="4" t="s">
        <v>43</v>
      </c>
      <c r="I13" s="4" t="s">
        <v>42</v>
      </c>
      <c r="J13" s="4" t="s">
        <v>44</v>
      </c>
      <c r="K13" s="4" t="s">
        <v>44</v>
      </c>
      <c r="L13" s="4" t="s">
        <v>49</v>
      </c>
      <c r="M13" s="4" t="s">
        <v>31</v>
      </c>
      <c r="N13" s="4" t="s">
        <v>40</v>
      </c>
      <c r="O13" s="4" t="s">
        <v>31</v>
      </c>
      <c r="P13" s="4" t="s">
        <v>40</v>
      </c>
      <c r="Q13" s="4" t="s">
        <v>40</v>
      </c>
    </row>
    <row r="14" spans="2:17" x14ac:dyDescent="0.25">
      <c r="B14" s="4" t="s">
        <v>32</v>
      </c>
      <c r="C14" s="4" t="s">
        <v>38</v>
      </c>
      <c r="D14" s="4" t="s">
        <v>33</v>
      </c>
      <c r="E14" s="4" t="s">
        <v>36</v>
      </c>
      <c r="F14" s="4" t="s">
        <v>47</v>
      </c>
      <c r="G14" s="4" t="s">
        <v>29</v>
      </c>
      <c r="H14" s="4" t="s">
        <v>34</v>
      </c>
      <c r="I14" s="4" t="s">
        <v>28</v>
      </c>
      <c r="J14" s="4" t="s">
        <v>43</v>
      </c>
      <c r="K14" s="4" t="s">
        <v>32</v>
      </c>
      <c r="L14" s="4" t="s">
        <v>36</v>
      </c>
      <c r="M14" s="4" t="s">
        <v>44</v>
      </c>
      <c r="N14" s="4" t="s">
        <v>41</v>
      </c>
      <c r="O14" s="4" t="s">
        <v>38</v>
      </c>
      <c r="P14" s="4" t="s">
        <v>42</v>
      </c>
      <c r="Q14" s="4" t="s">
        <v>42</v>
      </c>
    </row>
    <row r="15" spans="2:17" x14ac:dyDescent="0.25">
      <c r="B15" s="4" t="s">
        <v>51</v>
      </c>
      <c r="C15" s="4" t="s">
        <v>52</v>
      </c>
      <c r="D15" s="4" t="s">
        <v>31</v>
      </c>
      <c r="E15" s="4" t="s">
        <v>41</v>
      </c>
      <c r="F15" s="4" t="s">
        <v>39</v>
      </c>
      <c r="G15" s="4" t="s">
        <v>33</v>
      </c>
      <c r="H15" s="4" t="s">
        <v>48</v>
      </c>
      <c r="I15" s="4" t="s">
        <v>43</v>
      </c>
      <c r="J15" s="4" t="s">
        <v>42</v>
      </c>
      <c r="K15" s="4" t="s">
        <v>33</v>
      </c>
      <c r="L15" s="4" t="s">
        <v>33</v>
      </c>
      <c r="M15" s="4" t="s">
        <v>48</v>
      </c>
      <c r="N15" s="4" t="s">
        <v>51</v>
      </c>
      <c r="O15" s="4" t="s">
        <v>29</v>
      </c>
      <c r="P15" s="4" t="s">
        <v>35</v>
      </c>
      <c r="Q15" s="4" t="s">
        <v>35</v>
      </c>
    </row>
    <row r="16" spans="2:17" x14ac:dyDescent="0.25">
      <c r="B16" s="4" t="s">
        <v>51</v>
      </c>
      <c r="C16" s="4" t="s">
        <v>53</v>
      </c>
      <c r="D16" s="4" t="s">
        <v>38</v>
      </c>
      <c r="E16" s="4" t="s">
        <v>48</v>
      </c>
      <c r="F16" s="4" t="s">
        <v>53</v>
      </c>
      <c r="G16" s="4" t="s">
        <v>51</v>
      </c>
      <c r="H16" s="4" t="s">
        <v>51</v>
      </c>
      <c r="I16" s="4" t="s">
        <v>48</v>
      </c>
      <c r="J16" s="4" t="s">
        <v>30</v>
      </c>
      <c r="K16" s="4" t="s">
        <v>42</v>
      </c>
      <c r="L16" s="4" t="s">
        <v>39</v>
      </c>
      <c r="M16" s="4" t="s">
        <v>51</v>
      </c>
      <c r="N16" s="4" t="s">
        <v>48</v>
      </c>
      <c r="O16" s="4" t="s">
        <v>49</v>
      </c>
      <c r="P16" s="4" t="s">
        <v>31</v>
      </c>
      <c r="Q16" s="4" t="s">
        <v>31</v>
      </c>
    </row>
    <row r="17" spans="2:17" x14ac:dyDescent="0.25">
      <c r="B17" s="4" t="s">
        <v>39</v>
      </c>
      <c r="C17" s="4" t="s">
        <v>37</v>
      </c>
      <c r="D17" s="4" t="s">
        <v>35</v>
      </c>
      <c r="E17" s="4" t="s">
        <v>45</v>
      </c>
      <c r="F17" s="4" t="s">
        <v>35</v>
      </c>
      <c r="G17" s="4" t="s">
        <v>33</v>
      </c>
      <c r="H17" s="4" t="s">
        <v>47</v>
      </c>
      <c r="I17" s="4" t="s">
        <v>45</v>
      </c>
      <c r="J17" s="4" t="s">
        <v>32</v>
      </c>
      <c r="K17" s="4" t="s">
        <v>42</v>
      </c>
      <c r="L17" s="4" t="s">
        <v>42</v>
      </c>
      <c r="M17" s="4" t="s">
        <v>30</v>
      </c>
      <c r="N17" s="4" t="s">
        <v>47</v>
      </c>
      <c r="O17" s="4" t="s">
        <v>41</v>
      </c>
      <c r="P17" s="4" t="s">
        <v>44</v>
      </c>
      <c r="Q17" s="4" t="s">
        <v>44</v>
      </c>
    </row>
    <row r="18" spans="2:17" x14ac:dyDescent="0.25">
      <c r="B18" s="4" t="s">
        <v>36</v>
      </c>
      <c r="C18" s="4" t="s">
        <v>53</v>
      </c>
      <c r="D18" s="4" t="s">
        <v>46</v>
      </c>
      <c r="E18" s="4" t="s">
        <v>34</v>
      </c>
      <c r="F18" s="4" t="s">
        <v>38</v>
      </c>
      <c r="G18" s="4" t="s">
        <v>52</v>
      </c>
      <c r="H18" s="4" t="s">
        <v>34</v>
      </c>
      <c r="I18" s="4" t="s">
        <v>53</v>
      </c>
      <c r="J18" s="4" t="s">
        <v>46</v>
      </c>
      <c r="K18" s="4" t="s">
        <v>51</v>
      </c>
      <c r="L18" s="4" t="s">
        <v>49</v>
      </c>
      <c r="M18" s="4" t="s">
        <v>37</v>
      </c>
      <c r="N18" s="4" t="s">
        <v>36</v>
      </c>
      <c r="O18" s="4" t="s">
        <v>43</v>
      </c>
      <c r="P18" s="4" t="s">
        <v>46</v>
      </c>
      <c r="Q18" s="4" t="s">
        <v>46</v>
      </c>
    </row>
    <row r="19" spans="2:17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x14ac:dyDescent="0.25">
      <c r="B20" s="1"/>
      <c r="C20" s="1"/>
      <c r="D20" s="34" t="s">
        <v>55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1"/>
    </row>
    <row r="21" spans="2:17" ht="15.75" thickBot="1" x14ac:dyDescent="0.3">
      <c r="B21" s="1"/>
      <c r="C21" s="1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1"/>
    </row>
    <row r="22" spans="2:17" ht="15" customHeight="1" x14ac:dyDescent="0.25">
      <c r="B22" s="26">
        <v>3</v>
      </c>
      <c r="C22" s="16"/>
      <c r="D22" s="16">
        <v>1</v>
      </c>
      <c r="E22" s="17"/>
      <c r="F22" s="27">
        <v>4</v>
      </c>
      <c r="G22" s="28"/>
      <c r="H22" s="16">
        <v>2</v>
      </c>
      <c r="I22" s="17"/>
    </row>
    <row r="23" spans="2:17" ht="15" customHeight="1" x14ac:dyDescent="0.25">
      <c r="B23" s="22"/>
      <c r="C23" s="18"/>
      <c r="D23" s="18"/>
      <c r="E23" s="19"/>
      <c r="F23" s="29"/>
      <c r="G23" s="30"/>
      <c r="H23" s="18"/>
      <c r="I23" s="19"/>
      <c r="K23" s="35" t="s">
        <v>56</v>
      </c>
      <c r="L23" s="35"/>
      <c r="M23" s="35"/>
      <c r="N23" s="35"/>
      <c r="O23" s="35"/>
      <c r="P23" s="35"/>
      <c r="Q23" s="35"/>
    </row>
    <row r="24" spans="2:17" ht="15" customHeight="1" x14ac:dyDescent="0.25">
      <c r="B24" s="14">
        <v>4</v>
      </c>
      <c r="C24" s="15"/>
      <c r="D24" s="15">
        <v>2</v>
      </c>
      <c r="E24" s="21"/>
      <c r="F24" s="22">
        <v>3</v>
      </c>
      <c r="G24" s="18"/>
      <c r="H24" s="15">
        <v>1</v>
      </c>
      <c r="I24" s="21"/>
      <c r="K24" s="35"/>
      <c r="L24" s="35"/>
      <c r="M24" s="35"/>
      <c r="N24" s="35"/>
      <c r="O24" s="35"/>
      <c r="P24" s="35"/>
      <c r="Q24" s="35"/>
    </row>
    <row r="25" spans="2:17" ht="15.75" customHeight="1" thickBot="1" x14ac:dyDescent="0.3">
      <c r="B25" s="31"/>
      <c r="C25" s="32"/>
      <c r="D25" s="32"/>
      <c r="E25" s="33"/>
      <c r="F25" s="23"/>
      <c r="G25" s="24"/>
      <c r="H25" s="32"/>
      <c r="I25" s="33"/>
      <c r="K25" s="35"/>
      <c r="L25" s="35"/>
      <c r="M25" s="35"/>
      <c r="N25" s="35"/>
      <c r="O25" s="35"/>
      <c r="P25" s="35"/>
      <c r="Q25" s="35"/>
    </row>
    <row r="26" spans="2:17" ht="15" customHeight="1" x14ac:dyDescent="0.25">
      <c r="B26" s="12">
        <v>1</v>
      </c>
      <c r="C26" s="13"/>
      <c r="D26" s="16">
        <v>3</v>
      </c>
      <c r="E26" s="17"/>
      <c r="F26" s="12">
        <v>2</v>
      </c>
      <c r="G26" s="13"/>
      <c r="H26" s="13">
        <v>4</v>
      </c>
      <c r="I26" s="20"/>
      <c r="K26" s="35"/>
      <c r="L26" s="35"/>
      <c r="M26" s="35"/>
      <c r="N26" s="35"/>
      <c r="O26" s="35"/>
      <c r="P26" s="35"/>
      <c r="Q26" s="35"/>
    </row>
    <row r="27" spans="2:17" ht="15" customHeight="1" x14ac:dyDescent="0.25">
      <c r="B27" s="14"/>
      <c r="C27" s="15"/>
      <c r="D27" s="18"/>
      <c r="E27" s="19"/>
      <c r="F27" s="14"/>
      <c r="G27" s="15"/>
      <c r="H27" s="15"/>
      <c r="I27" s="21"/>
      <c r="K27" s="35"/>
      <c r="L27" s="35"/>
      <c r="M27" s="35"/>
      <c r="N27" s="35"/>
      <c r="O27" s="35"/>
      <c r="P27" s="35"/>
      <c r="Q27" s="35"/>
    </row>
    <row r="28" spans="2:17" ht="15" customHeight="1" x14ac:dyDescent="0.25">
      <c r="B28" s="22">
        <v>2</v>
      </c>
      <c r="C28" s="18"/>
      <c r="D28" s="18">
        <v>4</v>
      </c>
      <c r="E28" s="19"/>
      <c r="F28" s="22">
        <v>1</v>
      </c>
      <c r="G28" s="18"/>
      <c r="H28" s="18">
        <v>3</v>
      </c>
      <c r="I28" s="19"/>
      <c r="K28" s="35"/>
      <c r="L28" s="35"/>
      <c r="M28" s="35"/>
      <c r="N28" s="35"/>
      <c r="O28" s="35"/>
      <c r="P28" s="35"/>
      <c r="Q28" s="35"/>
    </row>
    <row r="29" spans="2:17" ht="15.75" customHeight="1" thickBot="1" x14ac:dyDescent="0.3">
      <c r="B29" s="23"/>
      <c r="C29" s="24"/>
      <c r="D29" s="24"/>
      <c r="E29" s="25"/>
      <c r="F29" s="23"/>
      <c r="G29" s="24"/>
      <c r="H29" s="24"/>
      <c r="I29" s="25"/>
      <c r="K29" s="36" t="s">
        <v>58</v>
      </c>
      <c r="L29" s="36"/>
      <c r="M29" s="36"/>
      <c r="N29" s="36"/>
      <c r="O29" s="36"/>
      <c r="P29" s="36"/>
    </row>
    <row r="30" spans="2:17" x14ac:dyDescent="0.25">
      <c r="K30" s="36"/>
      <c r="L30" s="36"/>
      <c r="M30" s="36"/>
      <c r="N30" s="36"/>
      <c r="O30" s="36"/>
      <c r="P30" s="36"/>
    </row>
    <row r="31" spans="2:17" x14ac:dyDescent="0.25">
      <c r="K31" s="36"/>
      <c r="L31" s="36"/>
      <c r="M31" s="36"/>
      <c r="N31" s="36"/>
      <c r="O31" s="36"/>
      <c r="P31" s="36"/>
    </row>
  </sheetData>
  <mergeCells count="20">
    <mergeCell ref="D2:P3"/>
    <mergeCell ref="D20:P21"/>
    <mergeCell ref="B22:C23"/>
    <mergeCell ref="D22:E23"/>
    <mergeCell ref="F22:G23"/>
    <mergeCell ref="H22:I23"/>
    <mergeCell ref="K23:Q28"/>
    <mergeCell ref="B24:C25"/>
    <mergeCell ref="D24:E25"/>
    <mergeCell ref="F24:G25"/>
    <mergeCell ref="K29:P31"/>
    <mergeCell ref="H24:I25"/>
    <mergeCell ref="B26:C27"/>
    <mergeCell ref="D26:E27"/>
    <mergeCell ref="F26:G27"/>
    <mergeCell ref="H26:I27"/>
    <mergeCell ref="B28:C29"/>
    <mergeCell ref="D28:E29"/>
    <mergeCell ref="F28:G29"/>
    <mergeCell ref="H28:I29"/>
  </mergeCells>
  <pageMargins left="0.70866141732283472" right="0.70866141732283472" top="0.74803149606299213" bottom="0.74803149606299213" header="0.31496062992125984" footer="0.31496062992125984"/>
  <pageSetup scale="15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1932-AA73-47DC-82CB-EC0E532772F7}">
  <dimension ref="A1:F23"/>
  <sheetViews>
    <sheetView workbookViewId="0">
      <selection activeCell="A8" sqref="A8:A23"/>
    </sheetView>
  </sheetViews>
  <sheetFormatPr defaultRowHeight="15" x14ac:dyDescent="0.25"/>
  <cols>
    <col min="1" max="6" width="15.7109375" style="1" customWidth="1"/>
  </cols>
  <sheetData>
    <row r="1" spans="1:6" x14ac:dyDescent="0.25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</row>
    <row r="2" spans="1:6" x14ac:dyDescent="0.25">
      <c r="A2" s="1" t="s">
        <v>65</v>
      </c>
      <c r="B2" s="1" t="s">
        <v>70</v>
      </c>
      <c r="C2" s="1" t="s">
        <v>75</v>
      </c>
      <c r="D2" s="1" t="s">
        <v>80</v>
      </c>
      <c r="E2" s="1" t="s">
        <v>85</v>
      </c>
      <c r="F2" s="1" t="s">
        <v>90</v>
      </c>
    </row>
    <row r="3" spans="1:6" x14ac:dyDescent="0.25">
      <c r="A3" s="1" t="s">
        <v>66</v>
      </c>
      <c r="B3" s="1" t="s">
        <v>71</v>
      </c>
      <c r="C3" s="1" t="s">
        <v>76</v>
      </c>
      <c r="D3" s="1" t="s">
        <v>81</v>
      </c>
      <c r="E3" s="1" t="s">
        <v>86</v>
      </c>
      <c r="F3" s="1" t="s">
        <v>91</v>
      </c>
    </row>
    <row r="4" spans="1:6" x14ac:dyDescent="0.25">
      <c r="A4" s="1" t="s">
        <v>67</v>
      </c>
      <c r="B4" s="1" t="s">
        <v>72</v>
      </c>
      <c r="C4" s="1" t="s">
        <v>77</v>
      </c>
      <c r="D4" s="1" t="s">
        <v>82</v>
      </c>
      <c r="E4" s="1" t="s">
        <v>87</v>
      </c>
      <c r="F4" s="1" t="s">
        <v>92</v>
      </c>
    </row>
    <row r="5" spans="1:6" x14ac:dyDescent="0.25">
      <c r="A5" s="1" t="s">
        <v>68</v>
      </c>
      <c r="B5" s="1" t="s">
        <v>73</v>
      </c>
      <c r="C5" s="1" t="s">
        <v>78</v>
      </c>
      <c r="D5" s="1" t="s">
        <v>83</v>
      </c>
      <c r="E5" s="1" t="s">
        <v>88</v>
      </c>
      <c r="F5" s="1" t="s">
        <v>93</v>
      </c>
    </row>
    <row r="6" spans="1:6" x14ac:dyDescent="0.25">
      <c r="A6" s="1" t="s">
        <v>69</v>
      </c>
      <c r="B6" s="1" t="s">
        <v>74</v>
      </c>
      <c r="C6" s="1" t="s">
        <v>79</v>
      </c>
      <c r="D6" s="1" t="s">
        <v>84</v>
      </c>
      <c r="E6" s="1" t="s">
        <v>89</v>
      </c>
      <c r="F6" s="1" t="s">
        <v>94</v>
      </c>
    </row>
    <row r="8" spans="1:6" x14ac:dyDescent="0.25">
      <c r="A8" s="6" t="s">
        <v>95</v>
      </c>
    </row>
    <row r="9" spans="1:6" x14ac:dyDescent="0.25">
      <c r="A9" s="6" t="s">
        <v>96</v>
      </c>
    </row>
    <row r="10" spans="1:6" x14ac:dyDescent="0.25">
      <c r="A10" s="6" t="s">
        <v>97</v>
      </c>
    </row>
    <row r="11" spans="1:6" x14ac:dyDescent="0.25">
      <c r="A11" s="6" t="s">
        <v>98</v>
      </c>
    </row>
    <row r="12" spans="1:6" x14ac:dyDescent="0.25">
      <c r="A12" s="6" t="s">
        <v>99</v>
      </c>
    </row>
    <row r="13" spans="1:6" x14ac:dyDescent="0.25">
      <c r="A13" s="6" t="s">
        <v>100</v>
      </c>
    </row>
    <row r="14" spans="1:6" x14ac:dyDescent="0.25">
      <c r="A14" s="6" t="s">
        <v>101</v>
      </c>
    </row>
    <row r="15" spans="1:6" x14ac:dyDescent="0.25">
      <c r="A15" s="6" t="s">
        <v>102</v>
      </c>
    </row>
    <row r="16" spans="1:6" x14ac:dyDescent="0.25">
      <c r="A16" s="6" t="s">
        <v>103</v>
      </c>
    </row>
    <row r="17" spans="1:1" x14ac:dyDescent="0.25">
      <c r="A17" s="6" t="s">
        <v>104</v>
      </c>
    </row>
    <row r="18" spans="1:1" x14ac:dyDescent="0.25">
      <c r="A18" s="6" t="s">
        <v>105</v>
      </c>
    </row>
    <row r="19" spans="1:1" x14ac:dyDescent="0.25">
      <c r="A19" s="6" t="s">
        <v>106</v>
      </c>
    </row>
    <row r="20" spans="1:1" x14ac:dyDescent="0.25">
      <c r="A20" s="6" t="s">
        <v>110</v>
      </c>
    </row>
    <row r="21" spans="1:1" x14ac:dyDescent="0.25">
      <c r="A21" s="6" t="s">
        <v>107</v>
      </c>
    </row>
    <row r="22" spans="1:1" x14ac:dyDescent="0.25">
      <c r="A22" s="6" t="s">
        <v>108</v>
      </c>
    </row>
    <row r="23" spans="1:1" x14ac:dyDescent="0.25">
      <c r="A23" s="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Draft</vt:lpstr>
      <vt:lpstr>Word_Search</vt:lpstr>
      <vt:lpstr>Word_Search_solution</vt:lpstr>
      <vt:lpstr>Riddle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Guettier</dc:creator>
  <cp:lastModifiedBy>Simon Guettier</cp:lastModifiedBy>
  <cp:lastPrinted>2025-11-16T03:03:06Z</cp:lastPrinted>
  <dcterms:created xsi:type="dcterms:W3CDTF">2015-06-05T18:17:20Z</dcterms:created>
  <dcterms:modified xsi:type="dcterms:W3CDTF">2025-12-21T16:13:38Z</dcterms:modified>
</cp:coreProperties>
</file>