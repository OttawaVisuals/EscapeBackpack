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EscapeBackpack\EscapeBackpack\Space Station Aurora\"/>
    </mc:Choice>
  </mc:AlternateContent>
  <xr:revisionPtr revIDLastSave="0" documentId="13_ncr:1_{4DBB5F4E-83E0-44B1-B952-DF6AC649AE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" sheetId="2" r:id="rId1"/>
    <sheet name="Bank_Statemen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2" l="1"/>
  <c r="F28" i="3"/>
  <c r="F29" i="3"/>
  <c r="G10" i="3" s="1"/>
  <c r="G34" i="3"/>
  <c r="G33" i="3" s="1"/>
  <c r="G32" i="3" s="1"/>
  <c r="G31" i="3" s="1"/>
  <c r="G30" i="3" s="1"/>
  <c r="G35" i="3"/>
  <c r="G9" i="3"/>
  <c r="E20" i="2"/>
  <c r="E19" i="2"/>
  <c r="C17" i="2"/>
  <c r="M14" i="2"/>
  <c r="E16" i="2"/>
  <c r="M13" i="2"/>
  <c r="E14" i="2"/>
  <c r="E13" i="2"/>
  <c r="L14" i="2"/>
  <c r="L13" i="2"/>
  <c r="C16" i="2"/>
  <c r="G14" i="2"/>
  <c r="G13" i="2"/>
  <c r="G29" i="3" l="1"/>
  <c r="G28" i="3" s="1"/>
  <c r="G27" i="3" s="1"/>
  <c r="G26" i="3" s="1"/>
  <c r="G25" i="3" s="1"/>
  <c r="G24" i="3" s="1"/>
  <c r="G23" i="3" s="1"/>
  <c r="G22" i="3" s="1"/>
  <c r="G21" i="3" s="1"/>
  <c r="G20" i="3" s="1"/>
  <c r="G19" i="3" s="1"/>
  <c r="G18" i="3" s="1"/>
  <c r="G17" i="3" s="1"/>
  <c r="G16" i="3" s="1"/>
  <c r="G11" i="3" s="1"/>
</calcChain>
</file>

<file path=xl/sharedStrings.xml><?xml version="1.0" encoding="utf-8"?>
<sst xmlns="http://schemas.openxmlformats.org/spreadsheetml/2006/main" count="89" uniqueCount="60">
  <si>
    <t>Square cells</t>
  </si>
  <si>
    <t>h</t>
  </si>
  <si>
    <t>w</t>
  </si>
  <si>
    <t>Printer Margins</t>
  </si>
  <si>
    <t>Top</t>
  </si>
  <si>
    <t>mm</t>
  </si>
  <si>
    <t>Side</t>
  </si>
  <si>
    <t>Bottom</t>
  </si>
  <si>
    <t>https://support.usa.canon.com/kb/s/article/ART163725</t>
  </si>
  <si>
    <t>Page Type</t>
  </si>
  <si>
    <t>Height</t>
  </si>
  <si>
    <t>Width</t>
  </si>
  <si>
    <t>cm</t>
  </si>
  <si>
    <t>Number</t>
  </si>
  <si>
    <t>Letter</t>
  </si>
  <si>
    <t>Bank of American Deposit</t>
  </si>
  <si>
    <t>650 Corporate Way</t>
  </si>
  <si>
    <t>Waco, TX 76666</t>
  </si>
  <si>
    <t>United States of America</t>
  </si>
  <si>
    <t>Date</t>
  </si>
  <si>
    <t>Description</t>
  </si>
  <si>
    <t>Credit</t>
  </si>
  <si>
    <t>Debit</t>
  </si>
  <si>
    <t>Balance</t>
  </si>
  <si>
    <t>Feb 27, 2032</t>
  </si>
  <si>
    <t>Fish and Nuts Store</t>
  </si>
  <si>
    <t>Generic Gas Station</t>
  </si>
  <si>
    <t>Stakes and Punts</t>
  </si>
  <si>
    <t>Feb 01, 2032</t>
  </si>
  <si>
    <t>Lonely Liquor Store</t>
  </si>
  <si>
    <t>Standard Grocery Store</t>
  </si>
  <si>
    <t>Betting Only Online</t>
  </si>
  <si>
    <t xml:space="preserve">Earth Vehicle Interstellar Landers </t>
  </si>
  <si>
    <t>Space Center Pay</t>
  </si>
  <si>
    <t>Space Center Parking</t>
  </si>
  <si>
    <t>Feb 25, 2032</t>
  </si>
  <si>
    <t>Feb 24, 2032</t>
  </si>
  <si>
    <t>Feb 23, 2032</t>
  </si>
  <si>
    <t>Feb 21, 2032</t>
  </si>
  <si>
    <t>Feb 19, 2032</t>
  </si>
  <si>
    <t>Feb 02, 2032</t>
  </si>
  <si>
    <t>Feb 04, 2032</t>
  </si>
  <si>
    <t>Feb 05, 2032</t>
  </si>
  <si>
    <t>Feb 12, 2032</t>
  </si>
  <si>
    <t>Feb 13, 2032</t>
  </si>
  <si>
    <t>Feb 14, 2032</t>
  </si>
  <si>
    <t>Feb 28, 2032</t>
  </si>
  <si>
    <t>Opening Balance:</t>
  </si>
  <si>
    <t>Total Credit Amount:</t>
  </si>
  <si>
    <t>Total Debit Amount:</t>
  </si>
  <si>
    <t>Closing Balance:</t>
  </si>
  <si>
    <t>Alistair Johnson</t>
  </si>
  <si>
    <t>West Palm Beach, FL 33480</t>
  </si>
  <si>
    <t>Everglades Golf Course, Unit #328</t>
  </si>
  <si>
    <t xml:space="preserve">    STATEMENT OF ACCOUNT  </t>
  </si>
  <si>
    <t xml:space="preserve">Note: </t>
  </si>
  <si>
    <t>Thank you for paying your outstanding balance within the month, we will keep your account open.</t>
  </si>
  <si>
    <t xml:space="preserve">Let us know if you need assistance in the future with debt payment. </t>
  </si>
  <si>
    <t>Account Number:</t>
  </si>
  <si>
    <t>1262 0983 5681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</si>
</sst>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  <font>
      <b/>
      <sz val="14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1"/>
    <xf numFmtId="0" fontId="2" fillId="0" borderId="0" xfId="0" applyFont="1"/>
    <xf numFmtId="0" fontId="4" fillId="0" borderId="0" xfId="0" applyFont="1"/>
    <xf numFmtId="16" fontId="2" fillId="0" borderId="0" xfId="0" applyNumberFormat="1" applyFont="1"/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3" fillId="0" borderId="0" xfId="0" applyFont="1" applyAlignment="1">
      <alignment horizontal="right"/>
    </xf>
    <xf numFmtId="0" fontId="2" fillId="0" borderId="4" xfId="0" quotePrefix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2" fillId="3" borderId="4" xfId="0" quotePrefix="1" applyFont="1" applyFill="1" applyBorder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0" xfId="0" quotePrefix="1" applyFont="1" applyAlignment="1">
      <alignment horizontal="right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1" xfId="0" applyFont="1" applyBorder="1"/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164" fontId="2" fillId="0" borderId="0" xfId="0" quotePrefix="1" applyNumberFormat="1" applyFont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6" fillId="2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0</xdr:col>
      <xdr:colOff>1047750</xdr:colOff>
      <xdr:row>5</xdr:row>
      <xdr:rowOff>116371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D799E2-1647-4405-686D-816A0501E0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7936" r="12697" b="12698"/>
        <a:stretch>
          <a:fillRect/>
        </a:stretch>
      </xdr:blipFill>
      <xdr:spPr>
        <a:xfrm>
          <a:off x="38100" y="19050"/>
          <a:ext cx="1009650" cy="10974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usa.canon.com/kb/s/article/ART163725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60E2E-9366-4C07-AD85-6CF609B51D36}">
  <dimension ref="A2:M20"/>
  <sheetViews>
    <sheetView tabSelected="1" topLeftCell="A7" workbookViewId="0">
      <selection activeCell="G20" sqref="G20"/>
    </sheetView>
  </sheetViews>
  <sheetFormatPr defaultRowHeight="15" x14ac:dyDescent="0.25"/>
  <sheetData>
    <row r="2" spans="1:13" x14ac:dyDescent="0.25">
      <c r="A2" t="s">
        <v>0</v>
      </c>
    </row>
    <row r="3" spans="1:13" x14ac:dyDescent="0.25">
      <c r="A3" t="s">
        <v>1</v>
      </c>
      <c r="B3">
        <v>15</v>
      </c>
    </row>
    <row r="4" spans="1:13" x14ac:dyDescent="0.25">
      <c r="A4" t="s">
        <v>2</v>
      </c>
      <c r="B4">
        <v>2.6</v>
      </c>
    </row>
    <row r="7" spans="1:13" x14ac:dyDescent="0.25">
      <c r="A7" t="s">
        <v>3</v>
      </c>
      <c r="C7" s="1" t="s">
        <v>8</v>
      </c>
    </row>
    <row r="8" spans="1:13" x14ac:dyDescent="0.25">
      <c r="B8" t="s">
        <v>4</v>
      </c>
      <c r="C8">
        <v>3</v>
      </c>
      <c r="D8" t="s">
        <v>5</v>
      </c>
    </row>
    <row r="9" spans="1:13" x14ac:dyDescent="0.25">
      <c r="B9" t="s">
        <v>6</v>
      </c>
      <c r="C9">
        <v>3.4</v>
      </c>
      <c r="D9" t="s">
        <v>5</v>
      </c>
    </row>
    <row r="10" spans="1:13" x14ac:dyDescent="0.25">
      <c r="B10" t="s">
        <v>7</v>
      </c>
      <c r="C10">
        <v>16.7</v>
      </c>
      <c r="D10" t="s">
        <v>5</v>
      </c>
    </row>
    <row r="12" spans="1:13" x14ac:dyDescent="0.25">
      <c r="K12" t="s">
        <v>13</v>
      </c>
    </row>
    <row r="13" spans="1:13" x14ac:dyDescent="0.25">
      <c r="A13" t="s">
        <v>9</v>
      </c>
      <c r="B13" t="s">
        <v>10</v>
      </c>
      <c r="C13">
        <v>12.7</v>
      </c>
      <c r="D13" t="s">
        <v>12</v>
      </c>
      <c r="E13">
        <f>C13-(C8+C10)/10</f>
        <v>10.729999999999999</v>
      </c>
      <c r="F13" t="s">
        <v>12</v>
      </c>
      <c r="G13">
        <f>E13*3</f>
        <v>32.19</v>
      </c>
      <c r="I13">
        <v>31</v>
      </c>
      <c r="J13" t="s">
        <v>12</v>
      </c>
      <c r="K13">
        <v>2</v>
      </c>
      <c r="L13">
        <f>C13*K13</f>
        <v>25.4</v>
      </c>
      <c r="M13">
        <f>L13-(C8+C10)/10</f>
        <v>23.43</v>
      </c>
    </row>
    <row r="14" spans="1:13" x14ac:dyDescent="0.25">
      <c r="B14" t="s">
        <v>11</v>
      </c>
      <c r="C14">
        <v>7.6</v>
      </c>
      <c r="D14" t="s">
        <v>12</v>
      </c>
      <c r="E14">
        <f>C14-2*C9/10</f>
        <v>6.92</v>
      </c>
      <c r="F14" t="s">
        <v>12</v>
      </c>
      <c r="G14">
        <f>E14*3</f>
        <v>20.759999999999998</v>
      </c>
      <c r="I14">
        <v>20</v>
      </c>
      <c r="J14" t="s">
        <v>12</v>
      </c>
      <c r="K14">
        <v>2</v>
      </c>
      <c r="L14">
        <f>C14*K14</f>
        <v>15.2</v>
      </c>
      <c r="M14">
        <f>L14-2*C9/10</f>
        <v>14.52</v>
      </c>
    </row>
    <row r="16" spans="1:13" x14ac:dyDescent="0.25">
      <c r="C16">
        <f>C14-C9/10</f>
        <v>7.26</v>
      </c>
      <c r="E16">
        <f>2*C14</f>
        <v>15.2</v>
      </c>
    </row>
    <row r="17" spans="1:7" x14ac:dyDescent="0.25">
      <c r="C17">
        <f>C13-(C8+C10)/10</f>
        <v>10.729999999999999</v>
      </c>
    </row>
    <row r="19" spans="1:7" x14ac:dyDescent="0.25">
      <c r="A19" t="s">
        <v>14</v>
      </c>
      <c r="B19" t="s">
        <v>10</v>
      </c>
      <c r="C19">
        <v>27.94</v>
      </c>
      <c r="D19" t="s">
        <v>12</v>
      </c>
      <c r="E19">
        <f>C19-(C8+C10)/10</f>
        <v>25.970000000000002</v>
      </c>
      <c r="G19">
        <f>C19/2</f>
        <v>13.97</v>
      </c>
    </row>
    <row r="20" spans="1:7" x14ac:dyDescent="0.25">
      <c r="B20" t="s">
        <v>11</v>
      </c>
      <c r="C20">
        <v>21.59</v>
      </c>
      <c r="D20" t="s">
        <v>12</v>
      </c>
      <c r="E20">
        <f>C20-(2*C9)/10</f>
        <v>20.91</v>
      </c>
    </row>
  </sheetData>
  <hyperlinks>
    <hyperlink ref="C7" r:id="rId1" xr:uid="{9720C1EA-3CA5-4BDB-9AD5-468174E727DA}"/>
  </hyperlinks>
  <pageMargins left="0.7" right="0.7" top="0.75" bottom="0.75" header="0.3" footer="0.3"/>
  <headerFooter>
    <oddHeader>&amp;R&amp;"Aptos"&amp;12&amp;K000000 UNCLASSIFIED -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C840A-39FE-48EF-AC39-316EEDAB0404}">
  <sheetPr>
    <tabColor theme="5"/>
  </sheetPr>
  <dimension ref="A2:K44"/>
  <sheetViews>
    <sheetView showGridLines="0" topLeftCell="A3" zoomScaleNormal="100" workbookViewId="0">
      <selection activeCell="B24" sqref="B24:D24"/>
    </sheetView>
  </sheetViews>
  <sheetFormatPr defaultRowHeight="15" x14ac:dyDescent="0.25"/>
  <cols>
    <col min="1" max="1" width="16.5703125" style="2" customWidth="1"/>
    <col min="2" max="3" width="9.140625" style="2"/>
    <col min="4" max="4" width="13.42578125" style="2" customWidth="1"/>
    <col min="5" max="5" width="13.140625" style="2" customWidth="1"/>
    <col min="6" max="6" width="13.7109375" style="2" customWidth="1"/>
    <col min="7" max="7" width="13.5703125" style="2" customWidth="1"/>
    <col min="8" max="16384" width="9.140625" style="2"/>
  </cols>
  <sheetData>
    <row r="2" spans="1:7" ht="18.75" x14ac:dyDescent="0.3">
      <c r="B2" s="3" t="s">
        <v>15</v>
      </c>
    </row>
    <row r="3" spans="1:7" x14ac:dyDescent="0.25">
      <c r="B3" s="2" t="s">
        <v>16</v>
      </c>
      <c r="G3" s="17" t="s">
        <v>54</v>
      </c>
    </row>
    <row r="4" spans="1:7" x14ac:dyDescent="0.25">
      <c r="B4" s="2" t="s">
        <v>17</v>
      </c>
    </row>
    <row r="5" spans="1:7" x14ac:dyDescent="0.25">
      <c r="B5" s="2" t="s">
        <v>18</v>
      </c>
    </row>
    <row r="7" spans="1:7" ht="15" customHeight="1" x14ac:dyDescent="0.25">
      <c r="A7" s="32" t="s">
        <v>51</v>
      </c>
      <c r="B7" s="32"/>
      <c r="C7" s="32"/>
    </row>
    <row r="8" spans="1:7" ht="15" customHeight="1" x14ac:dyDescent="0.25">
      <c r="A8" s="32"/>
      <c r="B8" s="32"/>
      <c r="C8" s="32"/>
      <c r="F8" s="7" t="s">
        <v>47</v>
      </c>
      <c r="G8" s="6">
        <v>12719.400000000001</v>
      </c>
    </row>
    <row r="9" spans="1:7" x14ac:dyDescent="0.25">
      <c r="A9" s="2" t="s">
        <v>53</v>
      </c>
      <c r="F9" s="7" t="s">
        <v>48</v>
      </c>
      <c r="G9" s="6">
        <f>SUM(E16:E35)</f>
        <v>1006843.96</v>
      </c>
    </row>
    <row r="10" spans="1:7" x14ac:dyDescent="0.25">
      <c r="A10" s="2" t="s">
        <v>52</v>
      </c>
      <c r="F10" s="7" t="s">
        <v>49</v>
      </c>
      <c r="G10" s="6">
        <f>SUM(F16:F35)</f>
        <v>965586.02999999991</v>
      </c>
    </row>
    <row r="11" spans="1:7" x14ac:dyDescent="0.25">
      <c r="A11" s="2" t="s">
        <v>18</v>
      </c>
      <c r="F11" s="7" t="s">
        <v>50</v>
      </c>
      <c r="G11" s="6">
        <f>G16</f>
        <v>53977.330000000016</v>
      </c>
    </row>
    <row r="12" spans="1:7" x14ac:dyDescent="0.25">
      <c r="F12" s="7" t="s">
        <v>58</v>
      </c>
      <c r="G12" s="29" t="s">
        <v>59</v>
      </c>
    </row>
    <row r="13" spans="1:7" x14ac:dyDescent="0.25">
      <c r="F13" s="5"/>
      <c r="G13" s="6"/>
    </row>
    <row r="15" spans="1:7" ht="18.75" x14ac:dyDescent="0.3">
      <c r="A15" s="26" t="s">
        <v>19</v>
      </c>
      <c r="B15" s="33" t="s">
        <v>20</v>
      </c>
      <c r="C15" s="33"/>
      <c r="D15" s="33"/>
      <c r="E15" s="27" t="s">
        <v>21</v>
      </c>
      <c r="F15" s="27" t="s">
        <v>22</v>
      </c>
      <c r="G15" s="28" t="s">
        <v>23</v>
      </c>
    </row>
    <row r="16" spans="1:7" x14ac:dyDescent="0.25">
      <c r="A16" s="8" t="s">
        <v>46</v>
      </c>
      <c r="B16" s="30" t="s">
        <v>29</v>
      </c>
      <c r="C16" s="30"/>
      <c r="D16" s="30"/>
      <c r="E16" s="9"/>
      <c r="F16" s="9">
        <v>34.56</v>
      </c>
      <c r="G16" s="10">
        <f t="shared" ref="G16:G33" si="0">G17+E16-F16</f>
        <v>53977.330000000016</v>
      </c>
    </row>
    <row r="17" spans="1:11" x14ac:dyDescent="0.25">
      <c r="A17" s="11" t="s">
        <v>46</v>
      </c>
      <c r="B17" s="31" t="s">
        <v>27</v>
      </c>
      <c r="C17" s="31"/>
      <c r="D17" s="31"/>
      <c r="E17" s="12"/>
      <c r="F17" s="12">
        <v>100000</v>
      </c>
      <c r="G17" s="13">
        <f t="shared" si="0"/>
        <v>54011.890000000014</v>
      </c>
    </row>
    <row r="18" spans="1:11" x14ac:dyDescent="0.25">
      <c r="A18" s="8" t="s">
        <v>24</v>
      </c>
      <c r="B18" s="30" t="s">
        <v>32</v>
      </c>
      <c r="C18" s="30"/>
      <c r="D18" s="30"/>
      <c r="E18" s="9">
        <v>1000000</v>
      </c>
      <c r="F18" s="9">
        <v>0</v>
      </c>
      <c r="G18" s="10">
        <f t="shared" si="0"/>
        <v>154011.89000000001</v>
      </c>
    </row>
    <row r="19" spans="1:11" x14ac:dyDescent="0.25">
      <c r="A19" s="11" t="s">
        <v>35</v>
      </c>
      <c r="B19" s="31" t="s">
        <v>34</v>
      </c>
      <c r="C19" s="31"/>
      <c r="D19" s="31"/>
      <c r="E19" s="12"/>
      <c r="F19" s="12">
        <v>20</v>
      </c>
      <c r="G19" s="13">
        <f t="shared" si="0"/>
        <v>-845988.11</v>
      </c>
    </row>
    <row r="20" spans="1:11" x14ac:dyDescent="0.25">
      <c r="A20" s="8" t="s">
        <v>36</v>
      </c>
      <c r="B20" s="30" t="s">
        <v>25</v>
      </c>
      <c r="C20" s="30"/>
      <c r="D20" s="30"/>
      <c r="E20" s="9"/>
      <c r="F20" s="9">
        <v>29.12</v>
      </c>
      <c r="G20" s="10">
        <f t="shared" si="0"/>
        <v>-845968.11</v>
      </c>
    </row>
    <row r="21" spans="1:11" x14ac:dyDescent="0.25">
      <c r="A21" s="11" t="s">
        <v>37</v>
      </c>
      <c r="B21" s="31" t="s">
        <v>26</v>
      </c>
      <c r="C21" s="31"/>
      <c r="D21" s="31"/>
      <c r="E21" s="12"/>
      <c r="F21" s="12">
        <v>46.73</v>
      </c>
      <c r="G21" s="13">
        <f t="shared" si="0"/>
        <v>-845938.99</v>
      </c>
      <c r="K21" s="4"/>
    </row>
    <row r="22" spans="1:11" x14ac:dyDescent="0.25">
      <c r="A22" s="8" t="s">
        <v>38</v>
      </c>
      <c r="B22" s="30" t="s">
        <v>29</v>
      </c>
      <c r="C22" s="30"/>
      <c r="D22" s="30"/>
      <c r="E22" s="9"/>
      <c r="F22" s="9">
        <v>35.67</v>
      </c>
      <c r="G22" s="10">
        <f t="shared" si="0"/>
        <v>-845892.26</v>
      </c>
      <c r="K22" s="4"/>
    </row>
    <row r="23" spans="1:11" x14ac:dyDescent="0.25">
      <c r="A23" s="11" t="s">
        <v>39</v>
      </c>
      <c r="B23" s="31" t="s">
        <v>33</v>
      </c>
      <c r="C23" s="31"/>
      <c r="D23" s="31"/>
      <c r="E23" s="12">
        <v>3421.98</v>
      </c>
      <c r="F23" s="12">
        <v>0</v>
      </c>
      <c r="G23" s="13">
        <f t="shared" si="0"/>
        <v>-845856.59</v>
      </c>
    </row>
    <row r="24" spans="1:11" x14ac:dyDescent="0.25">
      <c r="A24" s="8" t="s">
        <v>24</v>
      </c>
      <c r="B24" s="30" t="s">
        <v>27</v>
      </c>
      <c r="C24" s="30"/>
      <c r="D24" s="30"/>
      <c r="E24" s="9"/>
      <c r="F24" s="9">
        <v>200000</v>
      </c>
      <c r="G24" s="10">
        <f t="shared" si="0"/>
        <v>-849278.57</v>
      </c>
    </row>
    <row r="25" spans="1:11" x14ac:dyDescent="0.25">
      <c r="A25" s="11" t="s">
        <v>24</v>
      </c>
      <c r="B25" s="31" t="s">
        <v>27</v>
      </c>
      <c r="C25" s="31"/>
      <c r="D25" s="31"/>
      <c r="E25" s="12"/>
      <c r="F25" s="12">
        <v>150000</v>
      </c>
      <c r="G25" s="13">
        <f t="shared" si="0"/>
        <v>-649278.56999999995</v>
      </c>
    </row>
    <row r="26" spans="1:11" x14ac:dyDescent="0.25">
      <c r="A26" s="8" t="s">
        <v>24</v>
      </c>
      <c r="B26" s="30" t="s">
        <v>34</v>
      </c>
      <c r="C26" s="30"/>
      <c r="D26" s="30"/>
      <c r="E26" s="9"/>
      <c r="F26" s="9">
        <v>20</v>
      </c>
      <c r="G26" s="10">
        <f t="shared" si="0"/>
        <v>-499278.56999999995</v>
      </c>
    </row>
    <row r="27" spans="1:11" x14ac:dyDescent="0.25">
      <c r="A27" s="11" t="s">
        <v>45</v>
      </c>
      <c r="B27" s="31" t="s">
        <v>29</v>
      </c>
      <c r="C27" s="31"/>
      <c r="D27" s="31"/>
      <c r="E27" s="12"/>
      <c r="F27" s="12">
        <v>45.23</v>
      </c>
      <c r="G27" s="13">
        <f t="shared" si="0"/>
        <v>-499258.56999999995</v>
      </c>
    </row>
    <row r="28" spans="1:11" x14ac:dyDescent="0.25">
      <c r="A28" s="8" t="s">
        <v>44</v>
      </c>
      <c r="B28" s="30" t="s">
        <v>31</v>
      </c>
      <c r="C28" s="30"/>
      <c r="D28" s="30"/>
      <c r="E28" s="9"/>
      <c r="F28" s="9">
        <f>1.05*200000</f>
        <v>210000</v>
      </c>
      <c r="G28" s="10">
        <f t="shared" si="0"/>
        <v>-499213.33999999997</v>
      </c>
    </row>
    <row r="29" spans="1:11" x14ac:dyDescent="0.25">
      <c r="A29" s="11" t="s">
        <v>43</v>
      </c>
      <c r="B29" s="31" t="s">
        <v>31</v>
      </c>
      <c r="C29" s="31"/>
      <c r="D29" s="31"/>
      <c r="E29" s="12"/>
      <c r="F29" s="12">
        <f>1.05*100000</f>
        <v>105000</v>
      </c>
      <c r="G29" s="13">
        <f t="shared" si="0"/>
        <v>-289213.33999999997</v>
      </c>
    </row>
    <row r="30" spans="1:11" x14ac:dyDescent="0.25">
      <c r="A30" s="8" t="s">
        <v>42</v>
      </c>
      <c r="B30" s="30" t="s">
        <v>33</v>
      </c>
      <c r="C30" s="30"/>
      <c r="D30" s="30"/>
      <c r="E30" s="9">
        <v>3421.98</v>
      </c>
      <c r="F30" s="9">
        <v>0</v>
      </c>
      <c r="G30" s="10">
        <f t="shared" si="0"/>
        <v>-184213.34</v>
      </c>
    </row>
    <row r="31" spans="1:11" x14ac:dyDescent="0.25">
      <c r="A31" s="11" t="s">
        <v>42</v>
      </c>
      <c r="B31" s="31" t="s">
        <v>30</v>
      </c>
      <c r="C31" s="31"/>
      <c r="D31" s="31"/>
      <c r="E31" s="12"/>
      <c r="F31" s="12">
        <v>204.73</v>
      </c>
      <c r="G31" s="13">
        <f t="shared" si="0"/>
        <v>-187635.32</v>
      </c>
    </row>
    <row r="32" spans="1:11" x14ac:dyDescent="0.25">
      <c r="A32" s="8" t="s">
        <v>41</v>
      </c>
      <c r="B32" s="30" t="s">
        <v>29</v>
      </c>
      <c r="C32" s="30"/>
      <c r="D32" s="30"/>
      <c r="E32" s="9"/>
      <c r="F32" s="9">
        <v>63.29</v>
      </c>
      <c r="G32" s="10">
        <f t="shared" si="0"/>
        <v>-187430.59</v>
      </c>
    </row>
    <row r="33" spans="1:7" x14ac:dyDescent="0.25">
      <c r="A33" s="11" t="s">
        <v>40</v>
      </c>
      <c r="B33" s="31" t="s">
        <v>31</v>
      </c>
      <c r="C33" s="31"/>
      <c r="D33" s="31"/>
      <c r="E33" s="12"/>
      <c r="F33" s="12">
        <v>100000</v>
      </c>
      <c r="G33" s="13">
        <f t="shared" si="0"/>
        <v>-187367.3</v>
      </c>
    </row>
    <row r="34" spans="1:7" x14ac:dyDescent="0.25">
      <c r="A34" s="8" t="s">
        <v>40</v>
      </c>
      <c r="B34" s="30" t="s">
        <v>31</v>
      </c>
      <c r="C34" s="30"/>
      <c r="D34" s="30"/>
      <c r="E34" s="9"/>
      <c r="F34" s="9">
        <v>100000</v>
      </c>
      <c r="G34" s="10">
        <f>G35+E34-F34</f>
        <v>-87367.3</v>
      </c>
    </row>
    <row r="35" spans="1:7" x14ac:dyDescent="0.25">
      <c r="A35" s="11" t="s">
        <v>28</v>
      </c>
      <c r="B35" s="31" t="s">
        <v>30</v>
      </c>
      <c r="C35" s="31"/>
      <c r="D35" s="31"/>
      <c r="E35" s="12"/>
      <c r="F35" s="12">
        <v>86.7</v>
      </c>
      <c r="G35" s="13">
        <f>G8+E35-F35</f>
        <v>12632.7</v>
      </c>
    </row>
    <row r="36" spans="1:7" x14ac:dyDescent="0.25">
      <c r="A36" s="14"/>
      <c r="B36" s="15"/>
      <c r="C36" s="15"/>
      <c r="D36" s="15"/>
      <c r="E36" s="15"/>
      <c r="F36" s="15"/>
      <c r="G36" s="16"/>
    </row>
    <row r="37" spans="1:7" x14ac:dyDescent="0.25">
      <c r="A37" s="25" t="s">
        <v>55</v>
      </c>
      <c r="B37" s="18"/>
      <c r="C37" s="18"/>
      <c r="D37" s="18"/>
      <c r="E37" s="18"/>
      <c r="F37" s="18"/>
      <c r="G37" s="19"/>
    </row>
    <row r="38" spans="1:7" x14ac:dyDescent="0.25">
      <c r="A38" s="20" t="s">
        <v>56</v>
      </c>
      <c r="G38" s="21"/>
    </row>
    <row r="39" spans="1:7" x14ac:dyDescent="0.25">
      <c r="A39" s="20" t="s">
        <v>57</v>
      </c>
      <c r="G39" s="21"/>
    </row>
    <row r="40" spans="1:7" x14ac:dyDescent="0.25">
      <c r="A40" s="20"/>
      <c r="G40" s="21"/>
    </row>
    <row r="41" spans="1:7" x14ac:dyDescent="0.25">
      <c r="A41" s="20"/>
      <c r="G41" s="21"/>
    </row>
    <row r="42" spans="1:7" x14ac:dyDescent="0.25">
      <c r="A42" s="20"/>
      <c r="G42" s="21"/>
    </row>
    <row r="43" spans="1:7" x14ac:dyDescent="0.25">
      <c r="A43" s="20"/>
      <c r="G43" s="21"/>
    </row>
    <row r="44" spans="1:7" x14ac:dyDescent="0.25">
      <c r="A44" s="22"/>
      <c r="B44" s="23"/>
      <c r="C44" s="23"/>
      <c r="D44" s="23"/>
      <c r="E44" s="23"/>
      <c r="F44" s="23"/>
      <c r="G44" s="24"/>
    </row>
  </sheetData>
  <mergeCells count="22">
    <mergeCell ref="B35:D35"/>
    <mergeCell ref="B19:D19"/>
    <mergeCell ref="B27:D27"/>
    <mergeCell ref="B31:D31"/>
    <mergeCell ref="B29:D29"/>
    <mergeCell ref="B32:D32"/>
    <mergeCell ref="B33:D33"/>
    <mergeCell ref="B34:D34"/>
    <mergeCell ref="B22:D22"/>
    <mergeCell ref="B23:D23"/>
    <mergeCell ref="B24:D24"/>
    <mergeCell ref="B25:D25"/>
    <mergeCell ref="B26:D26"/>
    <mergeCell ref="B28:D28"/>
    <mergeCell ref="B16:D16"/>
    <mergeCell ref="B17:D17"/>
    <mergeCell ref="A7:C8"/>
    <mergeCell ref="B30:D30"/>
    <mergeCell ref="B15:D15"/>
    <mergeCell ref="B18:D18"/>
    <mergeCell ref="B20:D20"/>
    <mergeCell ref="B21:D21"/>
  </mergeCells>
  <phoneticPr fontId="5" type="noConversion"/>
  <pageMargins left="0.7" right="0.7" top="0.75" bottom="0.75" header="0.3" footer="0.3"/>
  <pageSetup orientation="portrait" horizontalDpi="4294967293" verticalDpi="0" r:id="rId1"/>
  <drawing r:id="rId2"/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Bank_Statement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Guettier</dc:creator>
  <cp:lastModifiedBy>Simon Guettier</cp:lastModifiedBy>
  <cp:lastPrinted>2025-12-28T14:11:23Z</cp:lastPrinted>
  <dcterms:created xsi:type="dcterms:W3CDTF">2015-06-05T18:17:20Z</dcterms:created>
  <dcterms:modified xsi:type="dcterms:W3CDTF">2025-12-29T18:54:38Z</dcterms:modified>
</cp:coreProperties>
</file>